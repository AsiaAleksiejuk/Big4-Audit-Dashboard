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28b7775ca68951/Pulpit/"/>
    </mc:Choice>
  </mc:AlternateContent>
  <xr:revisionPtr revIDLastSave="255" documentId="8_{E2A41E97-8602-4D3B-B145-C30557F51F08}" xr6:coauthVersionLast="47" xr6:coauthVersionMax="47" xr10:uidLastSave="{AA69F177-75E1-4260-9149-20017598C4F5}"/>
  <bookViews>
    <workbookView xWindow="-108" yWindow="-108" windowWidth="23256" windowHeight="12576" tabRatio="597" xr2:uid="{B412611C-2C96-4CB4-832B-1459943DEF79}"/>
  </bookViews>
  <sheets>
    <sheet name="Date" sheetId="4" r:id="rId1"/>
    <sheet name="Summary by Firm" sheetId="5" r:id="rId2"/>
    <sheet name="Summary by Year" sheetId="7" r:id="rId3"/>
    <sheet name="Summary by Industry" sheetId="9" r:id="rId4"/>
    <sheet name="Summary AI Impact" sheetId="11" r:id="rId5"/>
  </sheets>
  <definedNames>
    <definedName name="ExternalData_3" localSheetId="0" hidden="1">Date!$A$1:$L$101</definedName>
  </definedNames>
  <calcPr calcId="191029" iterateDelta="1E-4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4" l="1"/>
  <c r="S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P2" i="4"/>
  <c r="P3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AA7931-D376-4FA2-90DB-1C0578475850}" keepAlive="1" name="Zapytanie — Tabela1" description="Połączenie z zapytaniem „Tabela1” w skoroszycie." type="5" refreshedVersion="0" background="1">
    <dbPr connection="Provider=Microsoft.Mashup.OleDb.1;Data Source=$Workbook$;Location=Tabela1;Extended Properties=&quot;&quot;" command="SELECT * FROM [Tabela1]"/>
  </connection>
  <connection id="2" xr16:uid="{093F153A-C8E7-41D3-A34C-6C1B9EF72D93}" keepAlive="1" name="Zapytanie — Tabela1_1" description="Połączenie z zapytaniem „Tabela1_1” w skoroszycie." type="5" refreshedVersion="8" background="1" saveData="1">
    <dbPr connection="Provider=Microsoft.Mashup.OleDb.1;Data Source=$Workbook$;Location=Tabela1_1;Extended Properties=&quot;&quot;" command="SELECT * FROM [Tabela1_1]"/>
  </connection>
  <connection id="3" xr16:uid="{25F4949A-D916-41DC-A475-727C73B430B4}" keepAlive="1" name="Zapytanie — Tabela1_2" description="Połączenie z zapytaniem „Tabela1_2” w skoroszycie." type="5" refreshedVersion="8" background="1" saveData="1">
    <dbPr connection="Provider=Microsoft.Mashup.OleDb.1;Data Source=$Workbook$;Location=Tabela1_2;Extended Properties=&quot;&quot;" command="SELECT * FROM [Tabela1_2]"/>
  </connection>
</connections>
</file>

<file path=xl/sharedStrings.xml><?xml version="1.0" encoding="utf-8"?>
<sst xmlns="http://schemas.openxmlformats.org/spreadsheetml/2006/main" count="367" uniqueCount="40">
  <si>
    <t>PwC</t>
  </si>
  <si>
    <t>Healthcare</t>
  </si>
  <si>
    <t>No</t>
  </si>
  <si>
    <t>Deloitte</t>
  </si>
  <si>
    <t>Yes</t>
  </si>
  <si>
    <t>Finance</t>
  </si>
  <si>
    <t>Retail</t>
  </si>
  <si>
    <t>Tech</t>
  </si>
  <si>
    <t>Ernst &amp; Young</t>
  </si>
  <si>
    <t>KPMG</t>
  </si>
  <si>
    <t>Year</t>
  </si>
  <si>
    <t>Firm Name</t>
  </si>
  <si>
    <t>Total Audit Engagements</t>
  </si>
  <si>
    <t>High Risk Cases</t>
  </si>
  <si>
    <t>Compliance Violations</t>
  </si>
  <si>
    <t>Fraud Cases Detected</t>
  </si>
  <si>
    <t>Industry Affected</t>
  </si>
  <si>
    <t>AI Used for Auditing</t>
  </si>
  <si>
    <t>Employee Workload</t>
  </si>
  <si>
    <t>Audit Effectiveness Score</t>
  </si>
  <si>
    <t>Client Satisfaction Score</t>
  </si>
  <si>
    <t>Total Revenue Impact (mln USD)</t>
  </si>
  <si>
    <t>High Risk Rate</t>
  </si>
  <si>
    <t>Compliance Rate</t>
  </si>
  <si>
    <t>Revenue per Fraud (mln USD)</t>
  </si>
  <si>
    <t>Fraud Yield</t>
  </si>
  <si>
    <t>AI Flag</t>
  </si>
  <si>
    <t>Effectiveness Band</t>
  </si>
  <si>
    <t>Satisfaction Band</t>
  </si>
  <si>
    <t>Suma końcowa</t>
  </si>
  <si>
    <t>Total Engagements</t>
  </si>
  <si>
    <t>Total High Risk</t>
  </si>
  <si>
    <t>Total Fraud</t>
  </si>
  <si>
    <t>Total Revenue Impact</t>
  </si>
  <si>
    <t>Avg Effectiveness</t>
  </si>
  <si>
    <t>Avg Satisfaction</t>
  </si>
  <si>
    <t>Total Violations</t>
  </si>
  <si>
    <t>AI Adoption Pct</t>
  </si>
  <si>
    <t>Avg Fraud Yield</t>
  </si>
  <si>
    <t>Avg Workload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</si>
</sst>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#,##0.0"/>
  </numFmts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10" fontId="0" fillId="0" borderId="0" xfId="42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3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43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Procentowy" xfId="42" builtinId="5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1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4" formatCode="_-[$$-409]* #,##0.00_ ;_-[$$-409]* \-#,##0.00\ ;_-[$$-409]* &quot;-&quot;??_ ;_-@_ "/>
    </dxf>
    <dxf>
      <numFmt numFmtId="14" formatCode="0.00%"/>
    </dxf>
    <dxf>
      <numFmt numFmtId="14" formatCode="0.00%"/>
    </dxf>
    <dxf>
      <numFmt numFmtId="0" formatCode="General"/>
    </dxf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ia" refreshedDate="46118.409042476851" createdVersion="8" refreshedVersion="8" minRefreshableVersion="3" recordCount="100" xr:uid="{E7809015-6EAD-4973-95A2-0218B76FC4FD}">
  <cacheSource type="worksheet">
    <worksheetSource name="AuditData"/>
  </cacheSource>
  <cacheFields count="19">
    <cacheField name="Year" numFmtId="0">
      <sharedItems containsSemiMixedTypes="0" containsString="0" containsNumber="1" containsInteger="1" minValue="2020" maxValue="2025" count="6">
        <n v="2020"/>
        <n v="2022"/>
        <n v="2021"/>
        <n v="2023"/>
        <n v="2024"/>
        <n v="2025"/>
      </sharedItems>
    </cacheField>
    <cacheField name="Firm Name" numFmtId="0">
      <sharedItems count="4">
        <s v="PwC"/>
        <s v="Deloitte"/>
        <s v="Ernst &amp; Young"/>
        <s v="KPMG"/>
      </sharedItems>
    </cacheField>
    <cacheField name="Total Audit Engagements" numFmtId="0">
      <sharedItems containsSemiMixedTypes="0" containsString="0" containsNumber="1" containsInteger="1" minValue="603" maxValue="4946"/>
    </cacheField>
    <cacheField name="High Risk Cases" numFmtId="0">
      <sharedItems containsSemiMixedTypes="0" containsString="0" containsNumber="1" containsInteger="1" minValue="51" maxValue="500"/>
    </cacheField>
    <cacheField name="Compliance Violations" numFmtId="0">
      <sharedItems containsSemiMixedTypes="0" containsString="0" containsNumber="1" containsInteger="1" minValue="10" maxValue="200"/>
    </cacheField>
    <cacheField name="Fraud Cases Detected" numFmtId="0">
      <sharedItems containsSemiMixedTypes="0" containsString="0" containsNumber="1" containsInteger="1" minValue="5" maxValue="100"/>
    </cacheField>
    <cacheField name="Industry Affected" numFmtId="0">
      <sharedItems count="4">
        <s v="Healthcare"/>
        <s v="Finance"/>
        <s v="Retail"/>
        <s v="Tech"/>
      </sharedItems>
    </cacheField>
    <cacheField name="Total Revenue Impact (mln USD)" numFmtId="164">
      <sharedItems containsSemiMixedTypes="0" containsString="0" containsNumber="1" minValue="33.46" maxValue="497.06"/>
    </cacheField>
    <cacheField name="AI Used for Auditing" numFmtId="0">
      <sharedItems count="2">
        <s v="No"/>
        <s v="Yes"/>
      </sharedItems>
    </cacheField>
    <cacheField name="Employee Workload" numFmtId="0">
      <sharedItems containsSemiMixedTypes="0" containsString="0" containsNumber="1" containsInteger="1" minValue="40" maxValue="80"/>
    </cacheField>
    <cacheField name="Audit Effectiveness Score" numFmtId="0">
      <sharedItems containsSemiMixedTypes="0" containsString="0" containsNumber="1" minValue="5" maxValue="10"/>
    </cacheField>
    <cacheField name="Client Satisfaction Score" numFmtId="0">
      <sharedItems containsSemiMixedTypes="0" containsString="0" containsNumber="1" minValue="5" maxValue="10"/>
    </cacheField>
    <cacheField name="High Risk Rate" numFmtId="10">
      <sharedItems containsSemiMixedTypes="0" containsString="0" containsNumber="1" minValue="1.4093959731543624E-2" maxValue="0.5476772616136919"/>
    </cacheField>
    <cacheField name="Compliance Rate" numFmtId="10">
      <sharedItems containsSemiMixedTypes="0" containsString="0" containsNumber="1" minValue="3.1354515050167225E-3" maxValue="0.26880222841225626"/>
    </cacheField>
    <cacheField name="Revenue per Fraud (mln USD)" numFmtId="164">
      <sharedItems containsSemiMixedTypes="0" containsString="0" containsNumber="1" minValue="0.7804347826086957" maxValue="64.894999999999996"/>
    </cacheField>
    <cacheField name="Fraud Yield" numFmtId="10">
      <sharedItems containsSemiMixedTypes="0" containsString="0" containsNumber="1" minValue="1.312910284463895E-3" maxValue="0.11590628853267571"/>
    </cacheField>
    <cacheField name="AI Flag" numFmtId="10">
      <sharedItems containsSemiMixedTypes="0" containsString="0" containsNumber="1" containsInteger="1" minValue="0" maxValue="1"/>
    </cacheField>
    <cacheField name="Effectiveness Band" numFmtId="10">
      <sharedItems/>
    </cacheField>
    <cacheField name="Satisfaction Band" numFmtId="1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n v="2829"/>
    <n v="51"/>
    <n v="123"/>
    <n v="39"/>
    <x v="0"/>
    <n v="114.24"/>
    <x v="0"/>
    <n v="57"/>
    <n v="5.8"/>
    <n v="8.4"/>
    <n v="1.8027571580063628E-2"/>
    <n v="4.3478260869565216E-2"/>
    <n v="2.9292307692307693"/>
    <n v="1.3785790031813362E-2"/>
    <n v="0"/>
    <s v="Low (5-6,5)"/>
    <s v="High (8-10)"/>
  </r>
  <r>
    <x v="1"/>
    <x v="1"/>
    <n v="3589"/>
    <n v="185"/>
    <n v="30"/>
    <n v="60"/>
    <x v="0"/>
    <n v="156.97999999999999"/>
    <x v="1"/>
    <n v="58"/>
    <n v="5.3"/>
    <n v="6.7"/>
    <n v="5.1546391752577317E-2"/>
    <n v="8.3588743382557815E-3"/>
    <n v="2.616333333333333"/>
    <n v="1.6717748676511563E-2"/>
    <n v="1"/>
    <s v="Low (5-6,5)"/>
    <s v="Medium (6,5-8)"/>
  </r>
  <r>
    <x v="0"/>
    <x v="0"/>
    <n v="2438"/>
    <n v="212"/>
    <n v="124"/>
    <n v="97"/>
    <x v="0"/>
    <n v="131.83000000000001"/>
    <x v="0"/>
    <n v="76"/>
    <n v="6.1"/>
    <n v="6.2"/>
    <n v="8.6956521739130432E-2"/>
    <n v="5.0861361771944218E-2"/>
    <n v="1.3590721649484538"/>
    <n v="3.9786710418375719E-2"/>
    <n v="0"/>
    <s v="Low (5-6,5)"/>
    <s v="Low (5-6,5)"/>
  </r>
  <r>
    <x v="2"/>
    <x v="0"/>
    <n v="2646"/>
    <n v="397"/>
    <n v="55"/>
    <n v="97"/>
    <x v="0"/>
    <n v="229.11"/>
    <x v="0"/>
    <n v="60"/>
    <n v="5.0999999999999996"/>
    <n v="8.6"/>
    <n v="0.15003779289493574"/>
    <n v="2.0786092214663644E-2"/>
    <n v="2.3619587628865979"/>
    <n v="3.6659108087679519E-2"/>
    <n v="0"/>
    <s v="Low (5-6,5)"/>
    <s v="High (8-10)"/>
  </r>
  <r>
    <x v="0"/>
    <x v="0"/>
    <n v="2680"/>
    <n v="216"/>
    <n v="99"/>
    <n v="46"/>
    <x v="0"/>
    <n v="48"/>
    <x v="0"/>
    <n v="51"/>
    <n v="9.1"/>
    <n v="6.7"/>
    <n v="8.0597014925373134E-2"/>
    <n v="3.6940298507462686E-2"/>
    <n v="1.0434782608695652"/>
    <n v="1.7164179104477612E-2"/>
    <n v="0"/>
    <s v="High (8-10)"/>
    <s v="Medium (6,5-8)"/>
  </r>
  <r>
    <x v="3"/>
    <x v="1"/>
    <n v="818"/>
    <n v="448"/>
    <n v="10"/>
    <n v="30"/>
    <x v="1"/>
    <n v="438.89"/>
    <x v="0"/>
    <n v="73"/>
    <n v="5.3"/>
    <n v="7.1"/>
    <n v="0.5476772616136919"/>
    <n v="1.2224938875305624E-2"/>
    <n v="14.629666666666667"/>
    <n v="3.6674816625916873E-2"/>
    <n v="0"/>
    <s v="Low (5-6,5)"/>
    <s v="Medium (6,5-8)"/>
  </r>
  <r>
    <x v="1"/>
    <x v="1"/>
    <n v="1199"/>
    <n v="148"/>
    <n v="114"/>
    <n v="11"/>
    <x v="2"/>
    <n v="468.82"/>
    <x v="0"/>
    <n v="53"/>
    <n v="9.6"/>
    <n v="6.3"/>
    <n v="0.12343619683069225"/>
    <n v="9.5079232693911594E-2"/>
    <n v="42.62"/>
    <n v="9.1743119266055051E-3"/>
    <n v="0"/>
    <s v="High (8-10)"/>
    <s v="Low (5-6,5)"/>
  </r>
  <r>
    <x v="0"/>
    <x v="0"/>
    <n v="4092"/>
    <n v="500"/>
    <n v="152"/>
    <n v="69"/>
    <x v="3"/>
    <n v="53.85"/>
    <x v="1"/>
    <n v="80"/>
    <n v="9.4"/>
    <n v="9.5"/>
    <n v="0.12218963831867058"/>
    <n v="3.7145650048875857E-2"/>
    <n v="0.7804347826086957"/>
    <n v="1.6862170087976538E-2"/>
    <n v="1"/>
    <s v="High (8-10)"/>
    <s v="High (8-10)"/>
  </r>
  <r>
    <x v="2"/>
    <x v="0"/>
    <n v="4156"/>
    <n v="362"/>
    <n v="53"/>
    <n v="95"/>
    <x v="1"/>
    <n v="318.79000000000002"/>
    <x v="0"/>
    <n v="56"/>
    <n v="6"/>
    <n v="6"/>
    <n v="8.7102983638113571E-2"/>
    <n v="1.275264677574591E-2"/>
    <n v="3.355684210526316"/>
    <n v="2.285851780558229E-2"/>
    <n v="0"/>
    <s v="Low (5-6,5)"/>
    <s v="Low (5-6,5)"/>
  </r>
  <r>
    <x v="2"/>
    <x v="2"/>
    <n v="2490"/>
    <n v="74"/>
    <n v="144"/>
    <n v="22"/>
    <x v="2"/>
    <n v="461.33"/>
    <x v="1"/>
    <n v="66"/>
    <n v="6.8"/>
    <n v="7.3"/>
    <n v="2.9718875502008031E-2"/>
    <n v="5.7831325301204821E-2"/>
    <n v="20.969545454545454"/>
    <n v="8.8353413654618466E-3"/>
    <n v="1"/>
    <s v="Medium (6,5-8)"/>
    <s v="Medium (6,5-8)"/>
  </r>
  <r>
    <x v="0"/>
    <x v="3"/>
    <n v="1497"/>
    <n v="330"/>
    <n v="10"/>
    <n v="10"/>
    <x v="1"/>
    <n v="258.49"/>
    <x v="1"/>
    <n v="59"/>
    <n v="8.3000000000000007"/>
    <n v="8"/>
    <n v="0.22044088176352705"/>
    <n v="6.6800267201068807E-3"/>
    <n v="25.849"/>
    <n v="6.6800267201068807E-3"/>
    <n v="1"/>
    <s v="High (8-10)"/>
    <s v="Medium (6,5-8)"/>
  </r>
  <r>
    <x v="4"/>
    <x v="2"/>
    <n v="2712"/>
    <n v="408"/>
    <n v="186"/>
    <n v="61"/>
    <x v="0"/>
    <n v="224.92"/>
    <x v="1"/>
    <n v="78"/>
    <n v="9.5"/>
    <n v="8.9"/>
    <n v="0.15044247787610621"/>
    <n v="6.8584070796460173E-2"/>
    <n v="3.6872131147540981"/>
    <n v="2.2492625368731565E-2"/>
    <n v="1"/>
    <s v="High (8-10)"/>
    <s v="High (8-10)"/>
  </r>
  <r>
    <x v="4"/>
    <x v="1"/>
    <n v="2885"/>
    <n v="469"/>
    <n v="125"/>
    <n v="92"/>
    <x v="0"/>
    <n v="418.49"/>
    <x v="0"/>
    <n v="58"/>
    <n v="9.3000000000000007"/>
    <n v="7.7"/>
    <n v="0.16256499133448873"/>
    <n v="4.3327556325823226E-2"/>
    <n v="4.5488043478260867"/>
    <n v="3.1889081455805893E-2"/>
    <n v="0"/>
    <s v="High (8-10)"/>
    <s v="Medium (6,5-8)"/>
  </r>
  <r>
    <x v="3"/>
    <x v="0"/>
    <n v="2267"/>
    <n v="164"/>
    <n v="125"/>
    <n v="42"/>
    <x v="2"/>
    <n v="445.62"/>
    <x v="1"/>
    <n v="58"/>
    <n v="7.3"/>
    <n v="7.7"/>
    <n v="7.2342302602558445E-2"/>
    <n v="5.5138950154389063E-2"/>
    <n v="10.61"/>
    <n v="1.8526687251874726E-2"/>
    <n v="1"/>
    <s v="Medium (6,5-8)"/>
    <s v="Medium (6,5-8)"/>
  </r>
  <r>
    <x v="0"/>
    <x v="0"/>
    <n v="2333"/>
    <n v="358"/>
    <n v="48"/>
    <n v="17"/>
    <x v="2"/>
    <n v="388.5"/>
    <x v="1"/>
    <n v="40"/>
    <n v="10"/>
    <n v="8.3000000000000007"/>
    <n v="0.15345049292756108"/>
    <n v="2.0574367766823833E-2"/>
    <n v="22.852941176470587"/>
    <n v="7.2867552507501071E-3"/>
    <n v="1"/>
    <s v="High (8-10)"/>
    <s v="High (8-10)"/>
  </r>
  <r>
    <x v="2"/>
    <x v="1"/>
    <n v="3490"/>
    <n v="127"/>
    <n v="17"/>
    <n v="62"/>
    <x v="1"/>
    <n v="495.19"/>
    <x v="1"/>
    <n v="52"/>
    <n v="8.4"/>
    <n v="7.5"/>
    <n v="3.6389684813753584E-2"/>
    <n v="4.8710601719197709E-3"/>
    <n v="7.9869354838709681"/>
    <n v="1.7765042979942695E-2"/>
    <n v="1"/>
    <s v="High (8-10)"/>
    <s v="Medium (6,5-8)"/>
  </r>
  <r>
    <x v="0"/>
    <x v="2"/>
    <n v="3264"/>
    <n v="435"/>
    <n v="82"/>
    <n v="18"/>
    <x v="3"/>
    <n v="61.17"/>
    <x v="1"/>
    <n v="76"/>
    <n v="5.3"/>
    <n v="7.1"/>
    <n v="0.13327205882352941"/>
    <n v="2.5122549019607844E-2"/>
    <n v="3.3983333333333334"/>
    <n v="5.5147058823529415E-3"/>
    <n v="1"/>
    <s v="Low (5-6,5)"/>
    <s v="Medium (6,5-8)"/>
  </r>
  <r>
    <x v="1"/>
    <x v="1"/>
    <n v="4813"/>
    <n v="249"/>
    <n v="81"/>
    <n v="64"/>
    <x v="2"/>
    <n v="182.9"/>
    <x v="0"/>
    <n v="67"/>
    <n v="9.8000000000000007"/>
    <n v="7.5"/>
    <n v="5.1734884687305215E-2"/>
    <n v="1.6829420319966756E-2"/>
    <n v="2.8578125000000001"/>
    <n v="1.3297319758986079E-2"/>
    <n v="0"/>
    <s v="High (8-10)"/>
    <s v="Medium (6,5-8)"/>
  </r>
  <r>
    <x v="1"/>
    <x v="1"/>
    <n v="2804"/>
    <n v="273"/>
    <n v="87"/>
    <n v="36"/>
    <x v="0"/>
    <n v="243.85"/>
    <x v="0"/>
    <n v="46"/>
    <n v="6.6"/>
    <n v="9.5"/>
    <n v="9.7360912981455064E-2"/>
    <n v="3.1027104136947217E-2"/>
    <n v="6.7736111111111112"/>
    <n v="1.2838801711840228E-2"/>
    <n v="0"/>
    <s v="Medium (6,5-8)"/>
    <s v="High (8-10)"/>
  </r>
  <r>
    <x v="2"/>
    <x v="3"/>
    <n v="2239"/>
    <n v="78"/>
    <n v="30"/>
    <n v="14"/>
    <x v="3"/>
    <n v="129.97999999999999"/>
    <x v="1"/>
    <n v="53"/>
    <n v="8"/>
    <n v="7.6"/>
    <n v="3.4836980794997766E-2"/>
    <n v="1.3398838767306834E-2"/>
    <n v="9.2842857142857138"/>
    <n v="6.2527914247431891E-3"/>
    <n v="1"/>
    <s v="Medium (6,5-8)"/>
    <s v="Medium (6,5-8)"/>
  </r>
  <r>
    <x v="4"/>
    <x v="1"/>
    <n v="1581"/>
    <n v="247"/>
    <n v="181"/>
    <n v="72"/>
    <x v="2"/>
    <n v="221.42"/>
    <x v="0"/>
    <n v="56"/>
    <n v="5.6"/>
    <n v="7.9"/>
    <n v="0.1562302340290955"/>
    <n v="0.11448450347881088"/>
    <n v="3.0752777777777776"/>
    <n v="4.5540796963946868E-2"/>
    <n v="0"/>
    <s v="Low (5-6,5)"/>
    <s v="Medium (6,5-8)"/>
  </r>
  <r>
    <x v="5"/>
    <x v="1"/>
    <n v="760"/>
    <n v="406"/>
    <n v="65"/>
    <n v="69"/>
    <x v="1"/>
    <n v="140.29"/>
    <x v="1"/>
    <n v="40"/>
    <n v="5.0999999999999996"/>
    <n v="7.5"/>
    <n v="0.53421052631578947"/>
    <n v="8.5526315789473686E-2"/>
    <n v="2.0331884057971013"/>
    <n v="9.0789473684210531E-2"/>
    <n v="1"/>
    <s v="Low (5-6,5)"/>
    <s v="Medium (6,5-8)"/>
  </r>
  <r>
    <x v="3"/>
    <x v="0"/>
    <n v="2238"/>
    <n v="101"/>
    <n v="184"/>
    <n v="79"/>
    <x v="2"/>
    <n v="216.84"/>
    <x v="1"/>
    <n v="65"/>
    <n v="7"/>
    <n v="7.1"/>
    <n v="4.5129579982126897E-2"/>
    <n v="8.2216264521894553E-2"/>
    <n v="2.7448101265822786"/>
    <n v="3.5299374441465595E-2"/>
    <n v="1"/>
    <s v="Medium (6,5-8)"/>
    <s v="Medium (6,5-8)"/>
  </r>
  <r>
    <x v="4"/>
    <x v="2"/>
    <n v="1760"/>
    <n v="415"/>
    <n v="183"/>
    <n v="11"/>
    <x v="0"/>
    <n v="291"/>
    <x v="1"/>
    <n v="53"/>
    <n v="8.1999999999999993"/>
    <n v="8.4"/>
    <n v="0.23579545454545456"/>
    <n v="0.10397727272727272"/>
    <n v="26.454545454545453"/>
    <n v="6.2500000000000003E-3"/>
    <n v="1"/>
    <s v="High (8-10)"/>
    <s v="High (8-10)"/>
  </r>
  <r>
    <x v="4"/>
    <x v="0"/>
    <n v="4103"/>
    <n v="423"/>
    <n v="179"/>
    <n v="30"/>
    <x v="0"/>
    <n v="225.42"/>
    <x v="1"/>
    <n v="41"/>
    <n v="6.7"/>
    <n v="5"/>
    <n v="0.10309529612478674"/>
    <n v="4.3626614672191082E-2"/>
    <n v="7.5139999999999993"/>
    <n v="7.3117231294174993E-3"/>
    <n v="1"/>
    <s v="Medium (6,5-8)"/>
    <s v="Low (5-6,5)"/>
  </r>
  <r>
    <x v="5"/>
    <x v="0"/>
    <n v="4470"/>
    <n v="63"/>
    <n v="49"/>
    <n v="54"/>
    <x v="3"/>
    <n v="213.92"/>
    <x v="1"/>
    <n v="43"/>
    <n v="5.8"/>
    <n v="5.6"/>
    <n v="1.4093959731543624E-2"/>
    <n v="1.0961968680089485E-2"/>
    <n v="3.9614814814814814"/>
    <n v="1.2080536912751677E-2"/>
    <n v="1"/>
    <s v="Low (5-6,5)"/>
    <s v="Low (5-6,5)"/>
  </r>
  <r>
    <x v="0"/>
    <x v="3"/>
    <n v="2515"/>
    <n v="362"/>
    <n v="146"/>
    <n v="94"/>
    <x v="3"/>
    <n v="447.14"/>
    <x v="0"/>
    <n v="63"/>
    <n v="5.8"/>
    <n v="5"/>
    <n v="0.14393638170974155"/>
    <n v="5.805168986083499E-2"/>
    <n v="4.7568085106382973"/>
    <n v="3.7375745526838963E-2"/>
    <n v="0"/>
    <s v="Low (5-6,5)"/>
    <s v="Low (5-6,5)"/>
  </r>
  <r>
    <x v="5"/>
    <x v="3"/>
    <n v="3852"/>
    <n v="317"/>
    <n v="65"/>
    <n v="12"/>
    <x v="2"/>
    <n v="294.38"/>
    <x v="0"/>
    <n v="78"/>
    <n v="6.2"/>
    <n v="7.3"/>
    <n v="8.2294911734164075E-2"/>
    <n v="1.687435098650052E-2"/>
    <n v="24.531666666666666"/>
    <n v="3.1152647975077881E-3"/>
    <n v="0"/>
    <s v="Low (5-6,5)"/>
    <s v="Medium (6,5-8)"/>
  </r>
  <r>
    <x v="5"/>
    <x v="2"/>
    <n v="4773"/>
    <n v="497"/>
    <n v="186"/>
    <n v="56"/>
    <x v="1"/>
    <n v="197.87"/>
    <x v="1"/>
    <n v="44"/>
    <n v="9.4"/>
    <n v="6.1"/>
    <n v="0.10412738319715063"/>
    <n v="3.8969201759899437E-2"/>
    <n v="3.5333928571428572"/>
    <n v="1.1732662895453593E-2"/>
    <n v="1"/>
    <s v="High (8-10)"/>
    <s v="Low (5-6,5)"/>
  </r>
  <r>
    <x v="5"/>
    <x v="2"/>
    <n v="3571"/>
    <n v="86"/>
    <n v="181"/>
    <n v="90"/>
    <x v="2"/>
    <n v="474.21"/>
    <x v="0"/>
    <n v="58"/>
    <n v="7.4"/>
    <n v="7.6"/>
    <n v="2.4082889946793615E-2"/>
    <n v="5.0686082329879582E-2"/>
    <n v="5.2690000000000001"/>
    <n v="2.520302436292355E-2"/>
    <n v="0"/>
    <s v="Medium (6,5-8)"/>
    <s v="Medium (6,5-8)"/>
  </r>
  <r>
    <x v="0"/>
    <x v="1"/>
    <n v="2030"/>
    <n v="200"/>
    <n v="169"/>
    <n v="18"/>
    <x v="0"/>
    <n v="104.98"/>
    <x v="0"/>
    <n v="76"/>
    <n v="5.2"/>
    <n v="9.3000000000000007"/>
    <n v="9.8522167487684734E-2"/>
    <n v="8.32512315270936E-2"/>
    <n v="5.8322222222222226"/>
    <n v="8.8669950738916262E-3"/>
    <n v="0"/>
    <s v="Low (5-6,5)"/>
    <s v="High (8-10)"/>
  </r>
  <r>
    <x v="0"/>
    <x v="2"/>
    <n v="811"/>
    <n v="398"/>
    <n v="94"/>
    <n v="94"/>
    <x v="0"/>
    <n v="438.45"/>
    <x v="1"/>
    <n v="66"/>
    <n v="7.2"/>
    <n v="9.6"/>
    <n v="0.49075215782983972"/>
    <n v="0.11590628853267571"/>
    <n v="4.6643617021276595"/>
    <n v="0.11590628853267571"/>
    <n v="1"/>
    <s v="Medium (6,5-8)"/>
    <s v="High (8-10)"/>
  </r>
  <r>
    <x v="3"/>
    <x v="2"/>
    <n v="1727"/>
    <n v="59"/>
    <n v="184"/>
    <n v="20"/>
    <x v="3"/>
    <n v="249.68"/>
    <x v="0"/>
    <n v="50"/>
    <n v="6.9"/>
    <n v="8.8000000000000007"/>
    <n v="3.4163288940359006E-2"/>
    <n v="0.10654313839027214"/>
    <n v="12.484"/>
    <n v="1.1580775911986103E-2"/>
    <n v="0"/>
    <s v="Medium (6,5-8)"/>
    <s v="High (8-10)"/>
  </r>
  <r>
    <x v="4"/>
    <x v="2"/>
    <n v="4481"/>
    <n v="258"/>
    <n v="136"/>
    <n v="32"/>
    <x v="3"/>
    <n v="156.76"/>
    <x v="0"/>
    <n v="53"/>
    <n v="8.9"/>
    <n v="5.0999999999999996"/>
    <n v="5.757643383173399E-2"/>
    <n v="3.0350368221379157E-2"/>
    <n v="4.8987499999999997"/>
    <n v="7.1412631109127427E-3"/>
    <n v="0"/>
    <s v="High (8-10)"/>
    <s v="Low (5-6,5)"/>
  </r>
  <r>
    <x v="1"/>
    <x v="1"/>
    <n v="4287"/>
    <n v="158"/>
    <n v="73"/>
    <n v="66"/>
    <x v="0"/>
    <n v="69.97"/>
    <x v="0"/>
    <n v="78"/>
    <n v="8.3000000000000007"/>
    <n v="6.5"/>
    <n v="3.6855609983671565E-2"/>
    <n v="1.7028224865873572E-2"/>
    <n v="1.0601515151515151"/>
    <n v="1.5395381385584325E-2"/>
    <n v="0"/>
    <s v="High (8-10)"/>
    <s v="Low (5-6,5)"/>
  </r>
  <r>
    <x v="2"/>
    <x v="3"/>
    <n v="3560"/>
    <n v="302"/>
    <n v="37"/>
    <n v="42"/>
    <x v="2"/>
    <n v="94.56"/>
    <x v="1"/>
    <n v="50"/>
    <n v="9.1999999999999993"/>
    <n v="8.9"/>
    <n v="8.4831460674157297E-2"/>
    <n v="1.0393258426966293E-2"/>
    <n v="2.2514285714285713"/>
    <n v="1.1797752808988765E-2"/>
    <n v="1"/>
    <s v="High (8-10)"/>
    <s v="High (8-10)"/>
  </r>
  <r>
    <x v="3"/>
    <x v="0"/>
    <n v="3449"/>
    <n v="102"/>
    <n v="61"/>
    <n v="42"/>
    <x v="1"/>
    <n v="33.46"/>
    <x v="1"/>
    <n v="77"/>
    <n v="5.2"/>
    <n v="9.1999999999999993"/>
    <n v="2.9573789504204116E-2"/>
    <n v="1.7686285879965208E-2"/>
    <n v="0.79666666666666663"/>
    <n v="1.2177442737025224E-2"/>
    <n v="1"/>
    <s v="Low (5-6,5)"/>
    <s v="High (8-10)"/>
  </r>
  <r>
    <x v="4"/>
    <x v="1"/>
    <n v="4324"/>
    <n v="483"/>
    <n v="166"/>
    <n v="26"/>
    <x v="0"/>
    <n v="284.83999999999997"/>
    <x v="0"/>
    <n v="40"/>
    <n v="8.8000000000000007"/>
    <n v="6.2"/>
    <n v="0.11170212765957446"/>
    <n v="3.8390379278445887E-2"/>
    <n v="10.955384615384615"/>
    <n v="6.012950971322849E-3"/>
    <n v="0"/>
    <s v="High (8-10)"/>
    <s v="Low (5-6,5)"/>
  </r>
  <r>
    <x v="1"/>
    <x v="2"/>
    <n v="2245"/>
    <n v="435"/>
    <n v="42"/>
    <n v="13"/>
    <x v="2"/>
    <n v="265.76"/>
    <x v="1"/>
    <n v="67"/>
    <n v="7"/>
    <n v="5.5"/>
    <n v="0.19376391982182628"/>
    <n v="1.8708240534521157E-2"/>
    <n v="20.443076923076923"/>
    <n v="5.7906458797327394E-3"/>
    <n v="1"/>
    <s v="Medium (6,5-8)"/>
    <s v="Low (5-6,5)"/>
  </r>
  <r>
    <x v="2"/>
    <x v="1"/>
    <n v="603"/>
    <n v="62"/>
    <n v="100"/>
    <n v="20"/>
    <x v="3"/>
    <n v="415.3"/>
    <x v="1"/>
    <n v="60"/>
    <n v="5.3"/>
    <n v="8.5"/>
    <n v="0.10281923714759536"/>
    <n v="0.16583747927031509"/>
    <n v="20.765000000000001"/>
    <n v="3.316749585406302E-2"/>
    <n v="1"/>
    <s v="Low (5-6,5)"/>
    <s v="High (8-10)"/>
  </r>
  <r>
    <x v="0"/>
    <x v="0"/>
    <n v="3981"/>
    <n v="199"/>
    <n v="134"/>
    <n v="63"/>
    <x v="3"/>
    <n v="52.64"/>
    <x v="1"/>
    <n v="63"/>
    <n v="6.8"/>
    <n v="8.9"/>
    <n v="4.998744034162271E-2"/>
    <n v="3.365988445114293E-2"/>
    <n v="0.83555555555555561"/>
    <n v="1.5825169555388093E-2"/>
    <n v="1"/>
    <s v="Medium (6,5-8)"/>
    <s v="High (8-10)"/>
  </r>
  <r>
    <x v="2"/>
    <x v="2"/>
    <n v="1119"/>
    <n v="325"/>
    <n v="53"/>
    <n v="40"/>
    <x v="3"/>
    <n v="307.88"/>
    <x v="1"/>
    <n v="71"/>
    <n v="7"/>
    <n v="6.4"/>
    <n v="0.29043789097408401"/>
    <n v="4.736371760500447E-2"/>
    <n v="7.6970000000000001"/>
    <n v="3.5746201966041107E-2"/>
    <n v="1"/>
    <s v="Medium (6,5-8)"/>
    <s v="Low (5-6,5)"/>
  </r>
  <r>
    <x v="3"/>
    <x v="3"/>
    <n v="3076"/>
    <n v="428"/>
    <n v="138"/>
    <n v="79"/>
    <x v="2"/>
    <n v="150.59"/>
    <x v="0"/>
    <n v="62"/>
    <n v="8.8000000000000007"/>
    <n v="7.3"/>
    <n v="0.13914174252275682"/>
    <n v="4.4863459037711315E-2"/>
    <n v="1.9062025316455697"/>
    <n v="2.5682704811443434E-2"/>
    <n v="0"/>
    <s v="High (8-10)"/>
    <s v="Medium (6,5-8)"/>
  </r>
  <r>
    <x v="4"/>
    <x v="3"/>
    <n v="3958"/>
    <n v="442"/>
    <n v="115"/>
    <n v="94"/>
    <x v="0"/>
    <n v="468.13"/>
    <x v="0"/>
    <n v="63"/>
    <n v="5.2"/>
    <n v="5.2"/>
    <n v="0.11167256189994947"/>
    <n v="2.9055078322385044E-2"/>
    <n v="4.9801063829787235"/>
    <n v="2.3749368367862556E-2"/>
    <n v="0"/>
    <s v="Low (5-6,5)"/>
    <s v="Low (5-6,5)"/>
  </r>
  <r>
    <x v="1"/>
    <x v="2"/>
    <n v="1578"/>
    <n v="122"/>
    <n v="116"/>
    <n v="48"/>
    <x v="0"/>
    <n v="172"/>
    <x v="1"/>
    <n v="61"/>
    <n v="9.5"/>
    <n v="7.6"/>
    <n v="7.731305449936629E-2"/>
    <n v="7.3510773130544993E-2"/>
    <n v="3.5833333333333335"/>
    <n v="3.0418250950570342E-2"/>
    <n v="1"/>
    <s v="High (8-10)"/>
    <s v="Medium (6,5-8)"/>
  </r>
  <r>
    <x v="0"/>
    <x v="2"/>
    <n v="4570"/>
    <n v="284"/>
    <n v="155"/>
    <n v="6"/>
    <x v="3"/>
    <n v="389.37"/>
    <x v="0"/>
    <n v="52"/>
    <n v="6.1"/>
    <n v="6.1"/>
    <n v="6.2144420131291025E-2"/>
    <n v="3.3916849015317288E-2"/>
    <n v="64.894999999999996"/>
    <n v="1.312910284463895E-3"/>
    <n v="0"/>
    <s v="Low (5-6,5)"/>
    <s v="Low (5-6,5)"/>
  </r>
  <r>
    <x v="5"/>
    <x v="1"/>
    <n v="718"/>
    <n v="360"/>
    <n v="193"/>
    <n v="14"/>
    <x v="2"/>
    <n v="432.8"/>
    <x v="0"/>
    <n v="64"/>
    <n v="7.3"/>
    <n v="8.9"/>
    <n v="0.50139275766016711"/>
    <n v="0.26880222841225626"/>
    <n v="30.914285714285715"/>
    <n v="1.9498607242339833E-2"/>
    <n v="0"/>
    <s v="Medium (6,5-8)"/>
    <s v="High (8-10)"/>
  </r>
  <r>
    <x v="2"/>
    <x v="1"/>
    <n v="4601"/>
    <n v="65"/>
    <n v="196"/>
    <n v="28"/>
    <x v="3"/>
    <n v="320.75"/>
    <x v="0"/>
    <n v="75"/>
    <n v="7.7"/>
    <n v="5.7"/>
    <n v="1.4127363616605085E-2"/>
    <n v="4.2599434905455334E-2"/>
    <n v="11.455357142857142"/>
    <n v="6.0856335579221911E-3"/>
    <n v="0"/>
    <s v="Medium (6,5-8)"/>
    <s v="Low (5-6,5)"/>
  </r>
  <r>
    <x v="5"/>
    <x v="0"/>
    <n v="4775"/>
    <n v="380"/>
    <n v="139"/>
    <n v="87"/>
    <x v="1"/>
    <n v="429.95"/>
    <x v="1"/>
    <n v="53"/>
    <n v="8.8000000000000007"/>
    <n v="5.8"/>
    <n v="7.9581151832460728E-2"/>
    <n v="2.9109947643979058E-2"/>
    <n v="4.9419540229885053"/>
    <n v="1.8219895287958116E-2"/>
    <n v="1"/>
    <s v="High (8-10)"/>
    <s v="Low (5-6,5)"/>
  </r>
  <r>
    <x v="1"/>
    <x v="3"/>
    <n v="4340"/>
    <n v="208"/>
    <n v="86"/>
    <n v="70"/>
    <x v="2"/>
    <n v="178.86"/>
    <x v="1"/>
    <n v="57"/>
    <n v="5.5"/>
    <n v="7.6"/>
    <n v="4.7926267281105994E-2"/>
    <n v="1.9815668202764977E-2"/>
    <n v="2.5551428571428572"/>
    <n v="1.6129032258064516E-2"/>
    <n v="1"/>
    <s v="Low (5-6,5)"/>
    <s v="Medium (6,5-8)"/>
  </r>
  <r>
    <x v="2"/>
    <x v="3"/>
    <n v="4327"/>
    <n v="312"/>
    <n v="94"/>
    <n v="86"/>
    <x v="1"/>
    <n v="444.51"/>
    <x v="0"/>
    <n v="66"/>
    <n v="9.9"/>
    <n v="9.6"/>
    <n v="7.2105384793159227E-2"/>
    <n v="2.1724058238964641E-2"/>
    <n v="5.1687209302325581"/>
    <n v="1.9875202218627225E-2"/>
    <n v="0"/>
    <s v="High (8-10)"/>
    <s v="High (8-10)"/>
  </r>
  <r>
    <x v="5"/>
    <x v="1"/>
    <n v="1695"/>
    <n v="285"/>
    <n v="137"/>
    <n v="61"/>
    <x v="3"/>
    <n v="302.27999999999997"/>
    <x v="1"/>
    <n v="64"/>
    <n v="9.1"/>
    <n v="8.4"/>
    <n v="0.16814159292035399"/>
    <n v="8.0825958702064896E-2"/>
    <n v="4.9554098360655736"/>
    <n v="3.5988200589970501E-2"/>
    <n v="1"/>
    <s v="High (8-10)"/>
    <s v="High (8-10)"/>
  </r>
  <r>
    <x v="0"/>
    <x v="1"/>
    <n v="995"/>
    <n v="354"/>
    <n v="126"/>
    <n v="25"/>
    <x v="0"/>
    <n v="160.31"/>
    <x v="0"/>
    <n v="68"/>
    <n v="9.3000000000000007"/>
    <n v="6.2"/>
    <n v="0.35577889447236183"/>
    <n v="0.12663316582914572"/>
    <n v="6.4123999999999999"/>
    <n v="2.5125628140703519E-2"/>
    <n v="0"/>
    <s v="High (8-10)"/>
    <s v="Low (5-6,5)"/>
  </r>
  <r>
    <x v="3"/>
    <x v="2"/>
    <n v="3101"/>
    <n v="398"/>
    <n v="149"/>
    <n v="36"/>
    <x v="0"/>
    <n v="483.07"/>
    <x v="0"/>
    <n v="60"/>
    <n v="9.5"/>
    <n v="9.9"/>
    <n v="0.12834569493711706"/>
    <n v="4.8049016446307644E-2"/>
    <n v="13.418611111111112"/>
    <n v="1.1609158336020638E-2"/>
    <n v="0"/>
    <s v="High (8-10)"/>
    <s v="High (8-10)"/>
  </r>
  <r>
    <x v="2"/>
    <x v="1"/>
    <n v="1992"/>
    <n v="313"/>
    <n v="74"/>
    <n v="93"/>
    <x v="3"/>
    <n v="110.06"/>
    <x v="0"/>
    <n v="61"/>
    <n v="7.6"/>
    <n v="7.5"/>
    <n v="0.15712851405622491"/>
    <n v="3.7148594377510037E-2"/>
    <n v="1.1834408602150537"/>
    <n v="4.6686746987951805E-2"/>
    <n v="0"/>
    <s v="Medium (6,5-8)"/>
    <s v="Medium (6,5-8)"/>
  </r>
  <r>
    <x v="5"/>
    <x v="3"/>
    <n v="2506"/>
    <n v="330"/>
    <n v="55"/>
    <n v="94"/>
    <x v="0"/>
    <n v="250.74"/>
    <x v="1"/>
    <n v="40"/>
    <n v="7.5"/>
    <n v="9.6"/>
    <n v="0.13168395849960096"/>
    <n v="2.194732641660016E-2"/>
    <n v="2.6674468085106384"/>
    <n v="3.7509976057462091E-2"/>
    <n v="1"/>
    <s v="Medium (6,5-8)"/>
    <s v="High (8-10)"/>
  </r>
  <r>
    <x v="4"/>
    <x v="2"/>
    <n v="2556"/>
    <n v="306"/>
    <n v="45"/>
    <n v="91"/>
    <x v="1"/>
    <n v="426.07"/>
    <x v="0"/>
    <n v="68"/>
    <n v="5.3"/>
    <n v="5.0999999999999996"/>
    <n v="0.11971830985915492"/>
    <n v="1.7605633802816902E-2"/>
    <n v="4.682087912087912"/>
    <n v="3.5602503912363068E-2"/>
    <n v="0"/>
    <s v="Low (5-6,5)"/>
    <s v="Low (5-6,5)"/>
  </r>
  <r>
    <x v="5"/>
    <x v="1"/>
    <n v="4390"/>
    <n v="367"/>
    <n v="167"/>
    <n v="51"/>
    <x v="3"/>
    <n v="334.56"/>
    <x v="1"/>
    <n v="59"/>
    <n v="7.8"/>
    <n v="9.6"/>
    <n v="8.359908883826879E-2"/>
    <n v="3.8041002277904329E-2"/>
    <n v="6.56"/>
    <n v="1.1617312072892938E-2"/>
    <n v="1"/>
    <s v="Medium (6,5-8)"/>
    <s v="High (8-10)"/>
  </r>
  <r>
    <x v="0"/>
    <x v="0"/>
    <n v="4401"/>
    <n v="249"/>
    <n v="126"/>
    <n v="45"/>
    <x v="1"/>
    <n v="424.03"/>
    <x v="0"/>
    <n v="60"/>
    <n v="8.1999999999999993"/>
    <n v="5.7"/>
    <n v="5.6578050443081118E-2"/>
    <n v="2.8629856850715747E-2"/>
    <n v="9.4228888888888882"/>
    <n v="1.0224948875255624E-2"/>
    <n v="0"/>
    <s v="High (8-10)"/>
    <s v="Low (5-6,5)"/>
  </r>
  <r>
    <x v="4"/>
    <x v="1"/>
    <n v="1275"/>
    <n v="201"/>
    <n v="20"/>
    <n v="100"/>
    <x v="2"/>
    <n v="378.3"/>
    <x v="0"/>
    <n v="66"/>
    <n v="8.5"/>
    <n v="7.8"/>
    <n v="0.15764705882352942"/>
    <n v="1.5686274509803921E-2"/>
    <n v="3.7829999999999999"/>
    <n v="7.8431372549019607E-2"/>
    <n v="0"/>
    <s v="High (8-10)"/>
    <s v="Medium (6,5-8)"/>
  </r>
  <r>
    <x v="2"/>
    <x v="3"/>
    <n v="3630"/>
    <n v="208"/>
    <n v="92"/>
    <n v="24"/>
    <x v="2"/>
    <n v="440.9"/>
    <x v="1"/>
    <n v="48"/>
    <n v="5"/>
    <n v="5.4"/>
    <n v="5.7300275482093661E-2"/>
    <n v="2.5344352617079891E-2"/>
    <n v="18.370833333333334"/>
    <n v="6.6115702479338841E-3"/>
    <n v="1"/>
    <s v="Low (5-6,5)"/>
    <s v="Low (5-6,5)"/>
  </r>
  <r>
    <x v="0"/>
    <x v="3"/>
    <n v="2654"/>
    <n v="231"/>
    <n v="185"/>
    <n v="73"/>
    <x v="2"/>
    <n v="478"/>
    <x v="1"/>
    <n v="60"/>
    <n v="9.1999999999999993"/>
    <n v="7"/>
    <n v="8.7038432554634518E-2"/>
    <n v="6.9706103993971369E-2"/>
    <n v="6.5479452054794525"/>
    <n v="2.7505651846269782E-2"/>
    <n v="1"/>
    <s v="High (8-10)"/>
    <s v="Medium (6,5-8)"/>
  </r>
  <r>
    <x v="5"/>
    <x v="2"/>
    <n v="1810"/>
    <n v="91"/>
    <n v="151"/>
    <n v="54"/>
    <x v="2"/>
    <n v="285.51"/>
    <x v="0"/>
    <n v="55"/>
    <n v="5.9"/>
    <n v="6.9"/>
    <n v="5.0276243093922653E-2"/>
    <n v="8.342541436464089E-2"/>
    <n v="5.2872222222222218"/>
    <n v="2.9834254143646408E-2"/>
    <n v="0"/>
    <s v="Low (5-6,5)"/>
    <s v="Medium (6,5-8)"/>
  </r>
  <r>
    <x v="5"/>
    <x v="1"/>
    <n v="2208"/>
    <n v="296"/>
    <n v="198"/>
    <n v="72"/>
    <x v="2"/>
    <n v="395.59"/>
    <x v="1"/>
    <n v="77"/>
    <n v="6"/>
    <n v="6.7"/>
    <n v="0.13405797101449277"/>
    <n v="8.9673913043478257E-2"/>
    <n v="5.4943055555555551"/>
    <n v="3.2608695652173912E-2"/>
    <n v="1"/>
    <s v="Low (5-6,5)"/>
    <s v="Medium (6,5-8)"/>
  </r>
  <r>
    <x v="3"/>
    <x v="3"/>
    <n v="2133"/>
    <n v="52"/>
    <n v="141"/>
    <n v="50"/>
    <x v="2"/>
    <n v="88.08"/>
    <x v="0"/>
    <n v="44"/>
    <n v="9.8000000000000007"/>
    <n v="5.8"/>
    <n v="2.4378809188935771E-2"/>
    <n v="6.6104078762306617E-2"/>
    <n v="1.7616000000000001"/>
    <n v="2.3441162681669011E-2"/>
    <n v="0"/>
    <s v="High (8-10)"/>
    <s v="Low (5-6,5)"/>
  </r>
  <r>
    <x v="4"/>
    <x v="1"/>
    <n v="2183"/>
    <n v="449"/>
    <n v="25"/>
    <n v="27"/>
    <x v="1"/>
    <n v="263.14"/>
    <x v="1"/>
    <n v="48"/>
    <n v="9"/>
    <n v="8.3000000000000007"/>
    <n v="0.20568025652771416"/>
    <n v="1.1452130096197893E-2"/>
    <n v="9.7459259259259259"/>
    <n v="1.2368300503893724E-2"/>
    <n v="1"/>
    <s v="High (8-10)"/>
    <s v="High (8-10)"/>
  </r>
  <r>
    <x v="1"/>
    <x v="3"/>
    <n v="1924"/>
    <n v="487"/>
    <n v="141"/>
    <n v="33"/>
    <x v="2"/>
    <n v="307.61"/>
    <x v="0"/>
    <n v="68"/>
    <n v="7.3"/>
    <n v="8.8000000000000007"/>
    <n v="0.25311850311850309"/>
    <n v="7.3284823284823289E-2"/>
    <n v="9.3215151515151522"/>
    <n v="1.7151767151767153E-2"/>
    <n v="0"/>
    <s v="Medium (6,5-8)"/>
    <s v="High (8-10)"/>
  </r>
  <r>
    <x v="1"/>
    <x v="3"/>
    <n v="4624"/>
    <n v="472"/>
    <n v="142"/>
    <n v="50"/>
    <x v="1"/>
    <n v="65"/>
    <x v="1"/>
    <n v="46"/>
    <n v="5.5"/>
    <n v="5.7"/>
    <n v="0.10207612456747404"/>
    <n v="3.0709342560553632E-2"/>
    <n v="1.3"/>
    <n v="1.0813148788927335E-2"/>
    <n v="1"/>
    <s v="Low (5-6,5)"/>
    <s v="Low (5-6,5)"/>
  </r>
  <r>
    <x v="4"/>
    <x v="2"/>
    <n v="1825"/>
    <n v="377"/>
    <n v="31"/>
    <n v="80"/>
    <x v="3"/>
    <n v="193.07"/>
    <x v="0"/>
    <n v="74"/>
    <n v="6"/>
    <n v="9.5"/>
    <n v="0.20657534246575343"/>
    <n v="1.6986301369863014E-2"/>
    <n v="2.4133749999999998"/>
    <n v="4.3835616438356165E-2"/>
    <n v="0"/>
    <s v="Low (5-6,5)"/>
    <s v="High (8-10)"/>
  </r>
  <r>
    <x v="2"/>
    <x v="2"/>
    <n v="1069"/>
    <n v="222"/>
    <n v="102"/>
    <n v="11"/>
    <x v="3"/>
    <n v="497.06"/>
    <x v="0"/>
    <n v="54"/>
    <n v="6.2"/>
    <n v="6.6"/>
    <n v="0.20767072029934519"/>
    <n v="9.5416276894293731E-2"/>
    <n v="45.187272727272727"/>
    <n v="1.028999064546305E-2"/>
    <n v="0"/>
    <s v="Low (5-6,5)"/>
    <s v="Medium (6,5-8)"/>
  </r>
  <r>
    <x v="3"/>
    <x v="0"/>
    <n v="2283"/>
    <n v="58"/>
    <n v="103"/>
    <n v="82"/>
    <x v="0"/>
    <n v="168.15"/>
    <x v="1"/>
    <n v="59"/>
    <n v="6.7"/>
    <n v="5.6"/>
    <n v="2.5405168637757335E-2"/>
    <n v="4.5116075339465614E-2"/>
    <n v="2.0506097560975611"/>
    <n v="3.5917652212001751E-2"/>
    <n v="1"/>
    <s v="Medium (6,5-8)"/>
    <s v="Low (5-6,5)"/>
  </r>
  <r>
    <x v="4"/>
    <x v="1"/>
    <n v="4784"/>
    <n v="382"/>
    <n v="15"/>
    <n v="73"/>
    <x v="0"/>
    <n v="268.67"/>
    <x v="0"/>
    <n v="59"/>
    <n v="6.7"/>
    <n v="10"/>
    <n v="7.98494983277592E-2"/>
    <n v="3.1354515050167225E-3"/>
    <n v="3.6804109589041096"/>
    <n v="1.5259197324414716E-2"/>
    <n v="0"/>
    <s v="Medium (6,5-8)"/>
    <s v="High (8-10)"/>
  </r>
  <r>
    <x v="0"/>
    <x v="3"/>
    <n v="2861"/>
    <n v="433"/>
    <n v="139"/>
    <n v="71"/>
    <x v="2"/>
    <n v="381.61"/>
    <x v="0"/>
    <n v="49"/>
    <n v="9.1999999999999993"/>
    <n v="9"/>
    <n v="0.15134568332750786"/>
    <n v="4.8584411045089128E-2"/>
    <n v="5.3747887323943662"/>
    <n v="2.481649772806711E-2"/>
    <n v="0"/>
    <s v="High (8-10)"/>
    <s v="High (8-10)"/>
  </r>
  <r>
    <x v="3"/>
    <x v="3"/>
    <n v="3616"/>
    <n v="330"/>
    <n v="71"/>
    <n v="67"/>
    <x v="1"/>
    <n v="130.85"/>
    <x v="1"/>
    <n v="75"/>
    <n v="8.8000000000000007"/>
    <n v="5.4"/>
    <n v="9.1261061946902658E-2"/>
    <n v="1.9634955752212389E-2"/>
    <n v="1.9529850746268655"/>
    <n v="1.8528761061946904E-2"/>
    <n v="1"/>
    <s v="High (8-10)"/>
    <s v="Low (5-6,5)"/>
  </r>
  <r>
    <x v="5"/>
    <x v="2"/>
    <n v="4452"/>
    <n v="345"/>
    <n v="38"/>
    <n v="82"/>
    <x v="1"/>
    <n v="291.77"/>
    <x v="1"/>
    <n v="78"/>
    <n v="9.6"/>
    <n v="7.4"/>
    <n v="7.7493261455525611E-2"/>
    <n v="8.5354896675651389E-3"/>
    <n v="3.558170731707317"/>
    <n v="1.8418688230008983E-2"/>
    <n v="1"/>
    <s v="High (8-10)"/>
    <s v="Medium (6,5-8)"/>
  </r>
  <r>
    <x v="2"/>
    <x v="0"/>
    <n v="1078"/>
    <n v="395"/>
    <n v="58"/>
    <n v="5"/>
    <x v="3"/>
    <n v="139.47999999999999"/>
    <x v="1"/>
    <n v="62"/>
    <n v="7.3"/>
    <n v="5.9"/>
    <n v="0.36641929499072357"/>
    <n v="5.3803339517625233E-2"/>
    <n v="27.895999999999997"/>
    <n v="4.6382189239332098E-3"/>
    <n v="1"/>
    <s v="Medium (6,5-8)"/>
    <s v="Low (5-6,5)"/>
  </r>
  <r>
    <x v="0"/>
    <x v="2"/>
    <n v="1286"/>
    <n v="391"/>
    <n v="47"/>
    <n v="60"/>
    <x v="3"/>
    <n v="85.46"/>
    <x v="0"/>
    <n v="48"/>
    <n v="6.5"/>
    <n v="5.9"/>
    <n v="0.30404354587869364"/>
    <n v="3.6547433903576981E-2"/>
    <n v="1.4243333333333332"/>
    <n v="4.6656298600311043E-2"/>
    <n v="0"/>
    <s v="Low (5-6,5)"/>
    <s v="Low (5-6,5)"/>
  </r>
  <r>
    <x v="4"/>
    <x v="0"/>
    <n v="1574"/>
    <n v="391"/>
    <n v="19"/>
    <n v="50"/>
    <x v="3"/>
    <n v="240.87"/>
    <x v="0"/>
    <n v="74"/>
    <n v="8.3000000000000007"/>
    <n v="5.3"/>
    <n v="0.24841168996188057"/>
    <n v="1.207115628970775E-2"/>
    <n v="4.8174000000000001"/>
    <n v="3.176620076238882E-2"/>
    <n v="0"/>
    <s v="High (8-10)"/>
    <s v="Low (5-6,5)"/>
  </r>
  <r>
    <x v="4"/>
    <x v="0"/>
    <n v="1076"/>
    <n v="86"/>
    <n v="67"/>
    <n v="17"/>
    <x v="2"/>
    <n v="206.47"/>
    <x v="1"/>
    <n v="62"/>
    <n v="7.9"/>
    <n v="9.9"/>
    <n v="7.9925650557620811E-2"/>
    <n v="6.2267657992565055E-2"/>
    <n v="12.145294117647058"/>
    <n v="1.5799256505576207E-2"/>
    <n v="1"/>
    <s v="Medium (6,5-8)"/>
    <s v="High (8-10)"/>
  </r>
  <r>
    <x v="2"/>
    <x v="1"/>
    <n v="3305"/>
    <n v="226"/>
    <n v="132"/>
    <n v="81"/>
    <x v="3"/>
    <n v="403.02"/>
    <x v="0"/>
    <n v="73"/>
    <n v="5.5"/>
    <n v="7.6"/>
    <n v="6.8381240544629351E-2"/>
    <n v="3.9939485627836613E-2"/>
    <n v="4.9755555555555553"/>
    <n v="2.4508320726172466E-2"/>
    <n v="0"/>
    <s v="Low (5-6,5)"/>
    <s v="Medium (6,5-8)"/>
  </r>
  <r>
    <x v="0"/>
    <x v="1"/>
    <n v="912"/>
    <n v="481"/>
    <n v="200"/>
    <n v="20"/>
    <x v="0"/>
    <n v="83.61"/>
    <x v="0"/>
    <n v="66"/>
    <n v="8.6"/>
    <n v="9.3000000000000007"/>
    <n v="0.52741228070175439"/>
    <n v="0.21929824561403508"/>
    <n v="4.1805000000000003"/>
    <n v="2.1929824561403508E-2"/>
    <n v="0"/>
    <s v="High (8-10)"/>
    <s v="High (8-10)"/>
  </r>
  <r>
    <x v="1"/>
    <x v="2"/>
    <n v="1516"/>
    <n v="242"/>
    <n v="134"/>
    <n v="37"/>
    <x v="2"/>
    <n v="339.08"/>
    <x v="0"/>
    <n v="79"/>
    <n v="5.6"/>
    <n v="6.5"/>
    <n v="0.15963060686015831"/>
    <n v="8.8390501319261211E-2"/>
    <n v="9.1643243243243244"/>
    <n v="2.4406332453825858E-2"/>
    <n v="0"/>
    <s v="Low (5-6,5)"/>
    <s v="Low (5-6,5)"/>
  </r>
  <r>
    <x v="1"/>
    <x v="3"/>
    <n v="1012"/>
    <n v="302"/>
    <n v="124"/>
    <n v="35"/>
    <x v="3"/>
    <n v="276.3"/>
    <x v="0"/>
    <n v="73"/>
    <n v="7.7"/>
    <n v="5.3"/>
    <n v="0.29841897233201581"/>
    <n v="0.1225296442687747"/>
    <n v="7.894285714285715"/>
    <n v="3.4584980237154152E-2"/>
    <n v="0"/>
    <s v="Medium (6,5-8)"/>
    <s v="Low (5-6,5)"/>
  </r>
  <r>
    <x v="3"/>
    <x v="3"/>
    <n v="3230"/>
    <n v="290"/>
    <n v="121"/>
    <n v="91"/>
    <x v="2"/>
    <n v="435.76"/>
    <x v="0"/>
    <n v="59"/>
    <n v="7.2"/>
    <n v="9.1"/>
    <n v="8.9783281733746126E-2"/>
    <n v="3.7461300309597524E-2"/>
    <n v="4.7885714285714283"/>
    <n v="2.8173374613003097E-2"/>
    <n v="0"/>
    <s v="Medium (6,5-8)"/>
    <s v="High (8-10)"/>
  </r>
  <r>
    <x v="2"/>
    <x v="3"/>
    <n v="2503"/>
    <n v="425"/>
    <n v="45"/>
    <n v="62"/>
    <x v="2"/>
    <n v="228.15"/>
    <x v="0"/>
    <n v="69"/>
    <n v="7.4"/>
    <n v="6.5"/>
    <n v="0.16979624450659209"/>
    <n v="1.797842588893328E-2"/>
    <n v="3.6798387096774197"/>
    <n v="2.4770275669196963E-2"/>
    <n v="0"/>
    <s v="Medium (6,5-8)"/>
    <s v="Low (5-6,5)"/>
  </r>
  <r>
    <x v="0"/>
    <x v="0"/>
    <n v="4946"/>
    <n v="78"/>
    <n v="90"/>
    <n v="66"/>
    <x v="3"/>
    <n v="106.93"/>
    <x v="0"/>
    <n v="40"/>
    <n v="5.4"/>
    <n v="8.6999999999999993"/>
    <n v="1.5770319450060657E-2"/>
    <n v="1.8196522442377679E-2"/>
    <n v="1.6201515151515153"/>
    <n v="1.3344116457743631E-2"/>
    <n v="0"/>
    <s v="Low (5-6,5)"/>
    <s v="High (8-10)"/>
  </r>
  <r>
    <x v="5"/>
    <x v="0"/>
    <n v="4606"/>
    <n v="221"/>
    <n v="158"/>
    <n v="90"/>
    <x v="3"/>
    <n v="382.67"/>
    <x v="0"/>
    <n v="45"/>
    <n v="7.6"/>
    <n v="6.1"/>
    <n v="4.7980894485453757E-2"/>
    <n v="3.4303082935301779E-2"/>
    <n v="4.2518888888888888"/>
    <n v="1.9539730785931395E-2"/>
    <n v="0"/>
    <s v="Medium (6,5-8)"/>
    <s v="Low (5-6,5)"/>
  </r>
  <r>
    <x v="5"/>
    <x v="0"/>
    <n v="1771"/>
    <n v="158"/>
    <n v="73"/>
    <n v="33"/>
    <x v="3"/>
    <n v="485.64"/>
    <x v="1"/>
    <n v="68"/>
    <n v="9.8000000000000007"/>
    <n v="8.4"/>
    <n v="8.9215132693393567E-2"/>
    <n v="4.1219649915302088E-2"/>
    <n v="14.716363636363637"/>
    <n v="1.8633540372670808E-2"/>
    <n v="1"/>
    <s v="High (8-10)"/>
    <s v="High (8-10)"/>
  </r>
  <r>
    <x v="4"/>
    <x v="0"/>
    <n v="2676"/>
    <n v="176"/>
    <n v="36"/>
    <n v="82"/>
    <x v="1"/>
    <n v="362.31"/>
    <x v="1"/>
    <n v="56"/>
    <n v="9.5"/>
    <n v="7.9"/>
    <n v="6.5769805680119586E-2"/>
    <n v="1.3452914798206279E-2"/>
    <n v="4.4184146341463411"/>
    <n v="3.0642750373692077E-2"/>
    <n v="1"/>
    <s v="High (8-10)"/>
    <s v="Medium (6,5-8)"/>
  </r>
  <r>
    <x v="1"/>
    <x v="1"/>
    <n v="962"/>
    <n v="356"/>
    <n v="155"/>
    <n v="21"/>
    <x v="1"/>
    <n v="54.07"/>
    <x v="1"/>
    <n v="60"/>
    <n v="9.1"/>
    <n v="5.9"/>
    <n v="0.37006237006237008"/>
    <n v="0.16112266112266113"/>
    <n v="2.5747619047619046"/>
    <n v="2.1829521829521831E-2"/>
    <n v="1"/>
    <s v="High (8-10)"/>
    <s v="Low (5-6,5)"/>
  </r>
  <r>
    <x v="0"/>
    <x v="1"/>
    <n v="1925"/>
    <n v="189"/>
    <n v="39"/>
    <n v="52"/>
    <x v="3"/>
    <n v="118.92"/>
    <x v="0"/>
    <n v="70"/>
    <n v="9.4"/>
    <n v="6.4"/>
    <n v="9.8181818181818176E-2"/>
    <n v="2.0259740259740259E-2"/>
    <n v="2.2869230769230771"/>
    <n v="2.7012987012987013E-2"/>
    <n v="0"/>
    <s v="High (8-10)"/>
    <s v="Low (5-6,5)"/>
  </r>
  <r>
    <x v="3"/>
    <x v="3"/>
    <n v="2919"/>
    <n v="453"/>
    <n v="35"/>
    <n v="99"/>
    <x v="3"/>
    <n v="95.68"/>
    <x v="1"/>
    <n v="47"/>
    <n v="8"/>
    <n v="5.0999999999999996"/>
    <n v="0.15519013360739981"/>
    <n v="1.1990407673860911E-2"/>
    <n v="0.96646464646464658"/>
    <n v="3.391572456320658E-2"/>
    <n v="1"/>
    <s v="Medium (6,5-8)"/>
    <s v="Low (5-6,5)"/>
  </r>
  <r>
    <x v="1"/>
    <x v="0"/>
    <n v="4595"/>
    <n v="481"/>
    <n v="173"/>
    <n v="54"/>
    <x v="2"/>
    <n v="454.65"/>
    <x v="0"/>
    <n v="48"/>
    <n v="8.6"/>
    <n v="6.5"/>
    <n v="0.10467899891186072"/>
    <n v="3.7649619151251361E-2"/>
    <n v="8.4194444444444443"/>
    <n v="1.17519042437432E-2"/>
    <n v="0"/>
    <s v="High (8-10)"/>
    <s v="Low (5-6,5)"/>
  </r>
  <r>
    <x v="2"/>
    <x v="1"/>
    <n v="797"/>
    <n v="133"/>
    <n v="46"/>
    <n v="27"/>
    <x v="1"/>
    <n v="474.32"/>
    <x v="0"/>
    <n v="77"/>
    <n v="6.3"/>
    <n v="8.6"/>
    <n v="0.16687578419071519"/>
    <n v="5.7716436637390213E-2"/>
    <n v="17.567407407407408"/>
    <n v="3.3877038895859475E-2"/>
    <n v="0"/>
    <s v="Low (5-6,5)"/>
    <s v="High (8-10)"/>
  </r>
  <r>
    <x v="3"/>
    <x v="2"/>
    <n v="4895"/>
    <n v="123"/>
    <n v="132"/>
    <n v="10"/>
    <x v="3"/>
    <n v="389.31"/>
    <x v="0"/>
    <n v="48"/>
    <n v="9.3000000000000007"/>
    <n v="8.4"/>
    <n v="2.5127681307456587E-2"/>
    <n v="2.6966292134831461E-2"/>
    <n v="38.930999999999997"/>
    <n v="2.0429009193054137E-3"/>
    <n v="0"/>
    <s v="High (8-10)"/>
    <s v="High (8-10)"/>
  </r>
  <r>
    <x v="1"/>
    <x v="3"/>
    <n v="4179"/>
    <n v="77"/>
    <n v="58"/>
    <n v="69"/>
    <x v="0"/>
    <n v="89.79"/>
    <x v="1"/>
    <n v="74"/>
    <n v="7.6"/>
    <n v="5.6"/>
    <n v="1.8425460636515914E-2"/>
    <n v="1.3878918401531467E-2"/>
    <n v="1.3013043478260871"/>
    <n v="1.6511127063890883E-2"/>
    <n v="1"/>
    <s v="Medium (6,5-8)"/>
    <s v="Low (5-6,5)"/>
  </r>
  <r>
    <x v="0"/>
    <x v="2"/>
    <n v="2119"/>
    <n v="112"/>
    <n v="153"/>
    <n v="59"/>
    <x v="3"/>
    <n v="182.06"/>
    <x v="0"/>
    <n v="42"/>
    <n v="8.4"/>
    <n v="9.3000000000000007"/>
    <n v="5.2855120339782916E-2"/>
    <n v="7.2203869749882021E-2"/>
    <n v="3.0857627118644069"/>
    <n v="2.7843322321849929E-2"/>
    <n v="0"/>
    <s v="High (8-10)"/>
    <s v="High (8-10)"/>
  </r>
  <r>
    <x v="2"/>
    <x v="1"/>
    <n v="3810"/>
    <n v="463"/>
    <n v="35"/>
    <n v="96"/>
    <x v="0"/>
    <n v="349.04"/>
    <x v="0"/>
    <n v="55"/>
    <n v="6.4"/>
    <n v="6.5"/>
    <n v="0.12152230971128609"/>
    <n v="9.1863517060367453E-3"/>
    <n v="3.6358333333333337"/>
    <n v="2.5196850393700787E-2"/>
    <n v="0"/>
    <s v="Low (5-6,5)"/>
    <s v="Low (5-6,5)"/>
  </r>
  <r>
    <x v="5"/>
    <x v="1"/>
    <n v="1896"/>
    <n v="110"/>
    <n v="151"/>
    <n v="14"/>
    <x v="1"/>
    <n v="456.08"/>
    <x v="0"/>
    <n v="74"/>
    <n v="8.6999999999999993"/>
    <n v="7.1"/>
    <n v="5.8016877637130801E-2"/>
    <n v="7.9641350210970463E-2"/>
    <n v="32.577142857142853"/>
    <n v="7.3839662447257384E-3"/>
    <n v="0"/>
    <s v="High (8-10)"/>
    <s v="Medium (6,5-8)"/>
  </r>
  <r>
    <x v="2"/>
    <x v="0"/>
    <n v="4473"/>
    <n v="195"/>
    <n v="199"/>
    <n v="58"/>
    <x v="1"/>
    <n v="235.12"/>
    <x v="1"/>
    <n v="54"/>
    <n v="6.4"/>
    <n v="7.4"/>
    <n v="4.3594902749832326E-2"/>
    <n v="4.4489157165213504E-2"/>
    <n v="4.0537931034482764"/>
    <n v="1.2966689023027051E-2"/>
    <n v="1"/>
    <s v="Low (5-6,5)"/>
    <s v="Medium (6,5-8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A1730E-A192-4E80-A1A0-221D5387DEE9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Firm Name">
  <location ref="A1:I6" firstHeaderRow="0" firstDataRow="1" firstDataCol="1"/>
  <pivotFields count="19">
    <pivotField showAll="0"/>
    <pivotField axis="axisRow" showAll="0">
      <items count="5">
        <item x="1"/>
        <item x="2"/>
        <item x="3"/>
        <item x="0"/>
        <item t="default"/>
      </items>
    </pivotField>
    <pivotField dataField="1" showAll="0"/>
    <pivotField dataField="1" showAll="0"/>
    <pivotField dataField="1" showAll="0"/>
    <pivotField dataField="1" showAll="0"/>
    <pivotField showAll="0"/>
    <pivotField dataField="1" numFmtId="164" showAll="0"/>
    <pivotField showAll="0"/>
    <pivotField showAll="0"/>
    <pivotField dataField="1" showAll="0"/>
    <pivotField dataField="1" showAll="0"/>
    <pivotField numFmtId="10" showAll="0"/>
    <pivotField numFmtId="10" showAll="0"/>
    <pivotField numFmtId="164" showAll="0"/>
    <pivotField numFmtId="10" showAll="0"/>
    <pivotField dataField="1" numFmtId="10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Total Engagements" fld="2" baseField="1" baseItem="0" numFmtId="3"/>
    <dataField name="Total High Risk" fld="3" baseField="1" baseItem="0" numFmtId="3"/>
    <dataField name="Total Violations" fld="4" baseField="1" baseItem="0" numFmtId="3"/>
    <dataField name="Total Fraud" fld="5" baseField="1" baseItem="0" numFmtId="3"/>
    <dataField name="Total Revenue Impact" fld="7" baseField="0" baseItem="0" numFmtId="164"/>
    <dataField name="Avg Effectiveness" fld="10" subtotal="average" baseField="1" baseItem="0" numFmtId="2"/>
    <dataField name="Avg Satisfaction" fld="11" subtotal="average" baseField="1" baseItem="0" numFmtId="2"/>
    <dataField name="AI Adoption Pct" fld="16" subtotal="average" baseField="1" baseItem="0" numFmtId="2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8368C6-7062-4E61-8764-39E6D72D58D7}" name="Tabela przestawna2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Year">
  <location ref="A1:I8" firstHeaderRow="0" firstDataRow="1" firstDataCol="1"/>
  <pivotFields count="19">
    <pivotField axis="axisRow" showAll="0">
      <items count="7">
        <item x="0"/>
        <item x="2"/>
        <item x="1"/>
        <item x="3"/>
        <item x="4"/>
        <item x="5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showAll="0"/>
    <pivotField dataField="1" numFmtId="164" showAll="0"/>
    <pivotField showAll="0"/>
    <pivotField showAll="0"/>
    <pivotField dataField="1" showAll="0"/>
    <pivotField dataField="1" showAll="0"/>
    <pivotField numFmtId="10" showAll="0"/>
    <pivotField numFmtId="10" showAll="0"/>
    <pivotField numFmtId="164" showAll="0"/>
    <pivotField numFmtId="10" showAll="0"/>
    <pivotField dataField="1" numFmtId="10"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Total Engagements" fld="2" baseField="0" baseItem="0" numFmtId="3"/>
    <dataField name="Total High Risk" fld="3" baseField="0" baseItem="0" numFmtId="3"/>
    <dataField name="Total Violations" fld="4" baseField="0" baseItem="0" numFmtId="165"/>
    <dataField name="Total Fraud" fld="5" baseField="0" baseItem="0" numFmtId="3"/>
    <dataField name="Total Revenue Impact" fld="7" baseField="0" baseItem="0" numFmtId="164"/>
    <dataField name="Avg Effectiveness" fld="10" subtotal="average" baseField="0" baseItem="0" numFmtId="2"/>
    <dataField name="Avg Satisfaction" fld="11" subtotal="average" baseField="0" baseItem="0" numFmtId="2"/>
    <dataField name="AI Adoption Pct" fld="16" subtotal="average" baseField="0" baseItem="0" numFmtId="2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9418DA-30C6-4EB4-A8B1-E194A8A9DD69}" name="Tabela przestawna3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Industry Affected">
  <location ref="A1:J6" firstHeaderRow="0" firstDataRow="1" firstDataCol="1"/>
  <pivotFields count="19">
    <pivotField showAll="0"/>
    <pivotField showAll="0"/>
    <pivotField dataField="1" showAll="0"/>
    <pivotField dataField="1" showAll="0"/>
    <pivotField dataField="1" showAll="0"/>
    <pivotField dataField="1" showAll="0"/>
    <pivotField axis="axisRow" showAll="0">
      <items count="5">
        <item x="1"/>
        <item x="0"/>
        <item x="2"/>
        <item x="3"/>
        <item t="default"/>
      </items>
    </pivotField>
    <pivotField dataField="1" numFmtId="164" showAll="0"/>
    <pivotField showAll="0"/>
    <pivotField showAll="0"/>
    <pivotField dataField="1" showAll="0"/>
    <pivotField dataField="1" showAll="0"/>
    <pivotField numFmtId="10" showAll="0"/>
    <pivotField numFmtId="10" showAll="0"/>
    <pivotField numFmtId="164" showAll="0"/>
    <pivotField dataField="1" numFmtId="10" showAll="0"/>
    <pivotField dataField="1" numFmtId="10"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Total Engagements" fld="2" baseField="6" baseItem="0" numFmtId="3"/>
    <dataField name="Total High Risk" fld="3" baseField="6" baseItem="0" numFmtId="3"/>
    <dataField name="Total Violations" fld="4" baseField="6" baseItem="0" numFmtId="3"/>
    <dataField name="Total Fraud" fld="5" baseField="6" baseItem="0" numFmtId="3"/>
    <dataField name="Total Revenue Impact" fld="7" baseField="0" baseItem="0" numFmtId="164"/>
    <dataField name="Avg Effectiveness" fld="10" subtotal="average" baseField="6" baseItem="0" numFmtId="2"/>
    <dataField name="Avg Satisfaction" fld="11" subtotal="average" baseField="6" baseItem="0" numFmtId="2"/>
    <dataField name="AI Adoption Pct" fld="16" subtotal="average" baseField="6" baseItem="0" numFmtId="2"/>
    <dataField name="Avg Fraud Yield" fld="15" subtotal="average" baseField="6" baseItem="0" numFmtId="1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37079F-F9A1-438A-BE8A-FA474FC0BD4A}" name="Tabela przestawna4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rowHeaderCaption="AI Used for Auditing">
  <location ref="A1:F4" firstHeaderRow="0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axis="axisRow" showAll="0">
      <items count="3">
        <item x="0"/>
        <item x="1"/>
        <item t="default"/>
      </items>
    </pivotField>
    <pivotField dataField="1" showAll="0"/>
    <pivotField dataField="1" showAll="0"/>
    <pivotField dataField="1" showAll="0"/>
    <pivotField numFmtId="10" showAll="0"/>
    <pivotField numFmtId="10" showAll="0"/>
    <pivotField numFmtId="164" showAll="0"/>
    <pivotField dataField="1" numFmtId="10" showAll="0"/>
    <pivotField numFmtId="10"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g Effectiveness" fld="10" subtotal="average" baseField="8" baseItem="0" numFmtId="2"/>
    <dataField name="Avg Satisfaction" fld="11" subtotal="average" baseField="8" baseItem="0" numFmtId="2"/>
    <dataField name="Avg Fraud Yield" fld="15" subtotal="average" baseField="8" baseItem="0" numFmtId="2"/>
    <dataField name="Avg Workload" fld="9" subtotal="average" baseField="8" baseItem="0" numFmtId="2"/>
    <dataField name="Total Revenue Impact" fld="7" baseField="0" baseItem="0" numFmtId="164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DAFD4CF5-3521-4585-99C5-B0C8BE0B212C}" autoFormatId="16" applyNumberFormats="0" applyBorderFormats="0" applyFontFormats="0" applyPatternFormats="0" applyAlignmentFormats="0" applyWidthHeightFormats="0">
  <queryTableRefresh nextId="20" unboundColumnsRight="7">
    <queryTableFields count="19">
      <queryTableField id="1" name="Year" tableColumnId="1"/>
      <queryTableField id="2" name="Firm Name" tableColumnId="2"/>
      <queryTableField id="3" name="Total Audit Engagements" tableColumnId="3"/>
      <queryTableField id="4" name="High Risk Cases" tableColumnId="4"/>
      <queryTableField id="5" name="Compliance Violations" tableColumnId="5"/>
      <queryTableField id="6" name="Fraud Cases Detected" tableColumnId="6"/>
      <queryTableField id="7" name="Industry Affected" tableColumnId="7"/>
      <queryTableField id="8" name="Total Revenue Impact" tableColumnId="8"/>
      <queryTableField id="9" name="AI Used for Auditing" tableColumnId="9"/>
      <queryTableField id="10" name="Employee Workload" tableColumnId="10"/>
      <queryTableField id="11" name="Audit Effectiveness Score" tableColumnId="11"/>
      <queryTableField id="12" name="Client Satisfaction Score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7BFAE8-4F25-4CED-A186-B26FBFF1474A}" name="AuditData" displayName="AuditData" ref="A1:S101" tableType="queryTable" totalsRowShown="0">
  <autoFilter ref="A1:S101" xr:uid="{007BFAE8-4F25-4CED-A186-B26FBFF1474A}"/>
  <tableColumns count="19">
    <tableColumn id="1" xr3:uid="{D91E6714-F544-43CE-AC52-9F40B42CC49B}" uniqueName="1" name="Year" queryTableFieldId="1"/>
    <tableColumn id="2" xr3:uid="{15BCAA4F-553B-45F3-B8FE-46319D25DC33}" uniqueName="2" name="Firm Name" queryTableFieldId="2" dataDxfId="10"/>
    <tableColumn id="3" xr3:uid="{BBAD8B68-8516-4DC0-861D-C4CC8605F847}" uniqueName="3" name="Total Audit Engagements" queryTableFieldId="3"/>
    <tableColumn id="4" xr3:uid="{2DC44F92-3E59-40C5-A3CC-5A56757172E3}" uniqueName="4" name="High Risk Cases" queryTableFieldId="4"/>
    <tableColumn id="5" xr3:uid="{00138ED8-7D09-4154-9797-B0BAEF5FF649}" uniqueName="5" name="Compliance Violations" queryTableFieldId="5"/>
    <tableColumn id="6" xr3:uid="{32F86DD6-E0A8-407A-BE14-1955EA1F64B1}" uniqueName="6" name="Fraud Cases Detected" queryTableFieldId="6"/>
    <tableColumn id="7" xr3:uid="{77A180EE-2E01-4070-9579-9376F4C8D5EF}" uniqueName="7" name="Industry Affected" queryTableFieldId="7" dataDxfId="9"/>
    <tableColumn id="8" xr3:uid="{36E3E315-B6D9-487E-9EDF-7B547596AE04}" uniqueName="8" name="Total Revenue Impact (mln USD)" queryTableFieldId="8" dataDxfId="8"/>
    <tableColumn id="9" xr3:uid="{E81D7C43-E7AB-4B83-ACFB-42F03E171483}" uniqueName="9" name="AI Used for Auditing" queryTableFieldId="9" dataDxfId="7"/>
    <tableColumn id="10" xr3:uid="{75C41649-6E1C-4927-B5E3-DF8AD9D05051}" uniqueName="10" name="Employee Workload" queryTableFieldId="10"/>
    <tableColumn id="11" xr3:uid="{9AF899C5-5A93-4DD7-ABA2-F5A26529234C}" uniqueName="11" name="Audit Effectiveness Score" queryTableFieldId="11"/>
    <tableColumn id="12" xr3:uid="{3667F583-765D-471B-8E32-5567F1E3B410}" uniqueName="12" name="Client Satisfaction Score" queryTableFieldId="12"/>
    <tableColumn id="13" xr3:uid="{708D1F95-6C91-414C-B2CF-07FE9FA532A2}" uniqueName="13" name="High Risk Rate" queryTableFieldId="13" dataDxfId="6" dataCellStyle="Procentowy">
      <calculatedColumnFormula>AuditData[[#This Row],[High Risk Cases]]/AuditData[[#This Row],[Total Audit Engagements]]</calculatedColumnFormula>
    </tableColumn>
    <tableColumn id="14" xr3:uid="{F17C57DC-CAC4-41AD-AF9D-BD8FA27CDE26}" uniqueName="14" name="Compliance Rate" queryTableFieldId="14" dataDxfId="5" dataCellStyle="Procentowy">
      <calculatedColumnFormula>AuditData[[#This Row],[Compliance Violations]]/AuditData[[#This Row],[Total Audit Engagements]]</calculatedColumnFormula>
    </tableColumn>
    <tableColumn id="15" xr3:uid="{8CC35E1A-E8B3-487F-B611-32FE75D0947C}" uniqueName="15" name="Revenue per Fraud (mln USD)" queryTableFieldId="15" dataDxfId="4">
      <calculatedColumnFormula>AuditData[[#This Row],[Total Revenue Impact (mln USD)]]/AuditData[[#This Row],[Fraud Cases Detected]]</calculatedColumnFormula>
    </tableColumn>
    <tableColumn id="16" xr3:uid="{1517234D-5B08-43FA-83E5-82B710DAE37D}" uniqueName="16" name="Fraud Yield" queryTableFieldId="16" dataDxfId="3" dataCellStyle="Procentowy">
      <calculatedColumnFormula>AuditData[[#This Row],[Fraud Cases Detected]]/AuditData[[#This Row],[Total Audit Engagements]]</calculatedColumnFormula>
    </tableColumn>
    <tableColumn id="17" xr3:uid="{D511C930-E184-4652-8920-EE9A0D552B61}" uniqueName="17" name="AI Flag" queryTableFieldId="17" dataDxfId="2" dataCellStyle="Procentowy">
      <calculatedColumnFormula>IF(AuditData[[#This Row],[AI Used for Auditing]]="Yes",1,0)</calculatedColumnFormula>
    </tableColumn>
    <tableColumn id="18" xr3:uid="{9B2AB3FF-A1BE-4093-9F10-1AC6134E0CD7}" uniqueName="18" name="Effectiveness Band" queryTableFieldId="18" dataDxfId="1" dataCellStyle="Procentowy">
      <calculatedColumnFormula>IF(AuditData[[#This Row],[Audit Effectiveness Score]]&lt;=6.5,"Low (5-6,5)",IF(AuditData[[#This Row],[Audit Effectiveness Score]]&lt;=8,"Medium (6,5-8)","High (8-10)"))</calculatedColumnFormula>
    </tableColumn>
    <tableColumn id="19" xr3:uid="{A78B5552-C3AD-48E3-8F84-2E4E22729339}" uniqueName="19" name="Satisfaction Band" queryTableFieldId="19" dataDxfId="0" dataCellStyle="Procentowy">
      <calculatedColumnFormula>IF(AuditData[[#This Row],[Client Satisfaction Score]]&lt;=6.5,"Low (5-6,5)",IF(AuditData[[#This Row],[Client Satisfaction Score]]&lt;=8,"Medium (6,5-8)","High (8-10)"))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8ACD-D461-4E06-9989-63B1E1B2AAC1}">
  <dimension ref="A1:S101"/>
  <sheetViews>
    <sheetView tabSelected="1" workbookViewId="0">
      <selection activeCell="J6" sqref="J6"/>
    </sheetView>
  </sheetViews>
  <sheetFormatPr defaultRowHeight="14.4" x14ac:dyDescent="0.3"/>
  <cols>
    <col min="1" max="1" width="6.88671875" bestFit="1" customWidth="1"/>
    <col min="2" max="2" width="12.44140625" bestFit="1" customWidth="1"/>
    <col min="3" max="3" width="23.77734375" bestFit="1" customWidth="1"/>
    <col min="4" max="4" width="16.33203125" bestFit="1" customWidth="1"/>
    <col min="5" max="5" width="22.21875" bestFit="1" customWidth="1"/>
    <col min="6" max="6" width="21.5546875" bestFit="1" customWidth="1"/>
    <col min="7" max="7" width="17.44140625" bestFit="1" customWidth="1"/>
    <col min="8" max="8" width="30.33203125" style="1" customWidth="1"/>
    <col min="9" max="9" width="19.44140625" bestFit="1" customWidth="1"/>
    <col min="10" max="10" width="20" bestFit="1" customWidth="1"/>
    <col min="11" max="11" width="24.44140625" bestFit="1" customWidth="1"/>
    <col min="12" max="12" width="24" bestFit="1" customWidth="1"/>
    <col min="13" max="13" width="14.88671875" style="2" customWidth="1"/>
    <col min="14" max="14" width="16.6640625" style="2" customWidth="1"/>
    <col min="15" max="15" width="25" customWidth="1"/>
    <col min="16" max="16" width="12.44140625" style="2" customWidth="1"/>
    <col min="17" max="17" width="10.21875" style="2" customWidth="1"/>
    <col min="18" max="18" width="18" style="2" customWidth="1"/>
    <col min="19" max="19" width="15.88671875" style="2" customWidth="1"/>
  </cols>
  <sheetData>
    <row r="1" spans="1:19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s="1" t="s">
        <v>21</v>
      </c>
      <c r="I1" t="s">
        <v>17</v>
      </c>
      <c r="J1" t="s">
        <v>18</v>
      </c>
      <c r="K1" t="s">
        <v>19</v>
      </c>
      <c r="L1" t="s">
        <v>20</v>
      </c>
      <c r="M1" s="2" t="s">
        <v>22</v>
      </c>
      <c r="N1" s="2" t="s">
        <v>23</v>
      </c>
      <c r="O1" t="s">
        <v>24</v>
      </c>
      <c r="P1" s="2" t="s">
        <v>25</v>
      </c>
      <c r="Q1" t="s">
        <v>26</v>
      </c>
      <c r="R1" t="s">
        <v>27</v>
      </c>
      <c r="S1" t="s">
        <v>28</v>
      </c>
    </row>
    <row r="2" spans="1:19" x14ac:dyDescent="0.3">
      <c r="A2">
        <v>2020</v>
      </c>
      <c r="B2" t="s">
        <v>0</v>
      </c>
      <c r="C2">
        <v>2829</v>
      </c>
      <c r="D2">
        <v>51</v>
      </c>
      <c r="E2">
        <v>123</v>
      </c>
      <c r="F2">
        <v>39</v>
      </c>
      <c r="G2" t="s">
        <v>1</v>
      </c>
      <c r="H2" s="1">
        <v>114.24</v>
      </c>
      <c r="I2" t="s">
        <v>2</v>
      </c>
      <c r="J2">
        <v>57</v>
      </c>
      <c r="K2">
        <v>5.8</v>
      </c>
      <c r="L2">
        <v>8.4</v>
      </c>
      <c r="M2" s="2">
        <f>AuditData[[#This Row],[High Risk Cases]]/AuditData[[#This Row],[Total Audit Engagements]]</f>
        <v>1.8027571580063628E-2</v>
      </c>
      <c r="N2" s="2">
        <f>AuditData[[#This Row],[Compliance Violations]]/AuditData[[#This Row],[Total Audit Engagements]]</f>
        <v>4.3478260869565216E-2</v>
      </c>
      <c r="O2" s="1">
        <f>AuditData[[#This Row],[Total Revenue Impact (mln USD)]]/AuditData[[#This Row],[Fraud Cases Detected]]</f>
        <v>2.9292307692307693</v>
      </c>
      <c r="P2" s="2">
        <f>AuditData[[#This Row],[Fraud Cases Detected]]/AuditData[[#This Row],[Total Audit Engagements]]</f>
        <v>1.3785790031813362E-2</v>
      </c>
      <c r="Q2" s="2">
        <f>IF(AuditData[[#This Row],[AI Used for Auditing]]="Yes",1,0)</f>
        <v>0</v>
      </c>
      <c r="R2" s="2" t="str">
        <f>IF(AuditData[[#This Row],[Audit Effectiveness Score]]&lt;=6.5,"Low (5-6,5)",IF(AuditData[[#This Row],[Audit Effectiveness Score]]&lt;=8,"Medium (6,5-8)","High (8-10)"))</f>
        <v>Low (5-6,5)</v>
      </c>
      <c r="S2" s="2" t="str">
        <f>IF(AuditData[[#This Row],[Client Satisfaction Score]]&lt;=6.5,"Low (5-6,5)",IF(AuditData[[#This Row],[Client Satisfaction Score]]&lt;=8,"Medium (6,5-8)","High (8-10)"))</f>
        <v>High (8-10)</v>
      </c>
    </row>
    <row r="3" spans="1:19" x14ac:dyDescent="0.3">
      <c r="A3">
        <v>2022</v>
      </c>
      <c r="B3" t="s">
        <v>3</v>
      </c>
      <c r="C3">
        <v>3589</v>
      </c>
      <c r="D3">
        <v>185</v>
      </c>
      <c r="E3">
        <v>30</v>
      </c>
      <c r="F3">
        <v>60</v>
      </c>
      <c r="G3" t="s">
        <v>1</v>
      </c>
      <c r="H3" s="1">
        <v>156.97999999999999</v>
      </c>
      <c r="I3" t="s">
        <v>4</v>
      </c>
      <c r="J3">
        <v>58</v>
      </c>
      <c r="K3">
        <v>5.3</v>
      </c>
      <c r="L3">
        <v>6.7</v>
      </c>
      <c r="M3" s="2">
        <f>AuditData[[#This Row],[High Risk Cases]]/AuditData[[#This Row],[Total Audit Engagements]]</f>
        <v>5.1546391752577317E-2</v>
      </c>
      <c r="N3" s="2">
        <f>AuditData[[#This Row],[Compliance Violations]]/AuditData[[#This Row],[Total Audit Engagements]]</f>
        <v>8.3588743382557815E-3</v>
      </c>
      <c r="O3" s="1">
        <f>AuditData[[#This Row],[Total Revenue Impact (mln USD)]]/AuditData[[#This Row],[Fraud Cases Detected]]</f>
        <v>2.616333333333333</v>
      </c>
      <c r="P3" s="2">
        <f>AuditData[[#This Row],[Fraud Cases Detected]]/AuditData[[#This Row],[Total Audit Engagements]]</f>
        <v>1.6717748676511563E-2</v>
      </c>
      <c r="Q3" s="2">
        <f>IF(AuditData[[#This Row],[AI Used for Auditing]]="Yes",1,0)</f>
        <v>1</v>
      </c>
      <c r="R3" s="2" t="str">
        <f>IF(AuditData[[#This Row],[Audit Effectiveness Score]]&lt;=6.5,"Low (5-6,5)",IF(AuditData[[#This Row],[Audit Effectiveness Score]]&lt;=8,"Medium (6,5-8)","High (8-10)"))</f>
        <v>Low (5-6,5)</v>
      </c>
      <c r="S3" s="2" t="str">
        <f>IF(AuditData[[#This Row],[Client Satisfaction Score]]&lt;=6.5,"Low (5-6,5)",IF(AuditData[[#This Row],[Client Satisfaction Score]]&lt;=8,"Medium (6,5-8)","High (8-10)"))</f>
        <v>Medium (6,5-8)</v>
      </c>
    </row>
    <row r="4" spans="1:19" x14ac:dyDescent="0.3">
      <c r="A4">
        <v>2020</v>
      </c>
      <c r="B4" t="s">
        <v>0</v>
      </c>
      <c r="C4">
        <v>2438</v>
      </c>
      <c r="D4">
        <v>212</v>
      </c>
      <c r="E4">
        <v>124</v>
      </c>
      <c r="F4">
        <v>97</v>
      </c>
      <c r="G4" t="s">
        <v>1</v>
      </c>
      <c r="H4" s="1">
        <v>131.83000000000001</v>
      </c>
      <c r="I4" t="s">
        <v>2</v>
      </c>
      <c r="J4">
        <v>76</v>
      </c>
      <c r="K4">
        <v>6.1</v>
      </c>
      <c r="L4">
        <v>6.2</v>
      </c>
      <c r="M4" s="2">
        <f>AuditData[[#This Row],[High Risk Cases]]/AuditData[[#This Row],[Total Audit Engagements]]</f>
        <v>8.6956521739130432E-2</v>
      </c>
      <c r="N4" s="2">
        <f>AuditData[[#This Row],[Compliance Violations]]/AuditData[[#This Row],[Total Audit Engagements]]</f>
        <v>5.0861361771944218E-2</v>
      </c>
      <c r="O4" s="1">
        <f>AuditData[[#This Row],[Total Revenue Impact (mln USD)]]/AuditData[[#This Row],[Fraud Cases Detected]]</f>
        <v>1.3590721649484538</v>
      </c>
      <c r="P4" s="2">
        <f>AuditData[[#This Row],[Fraud Cases Detected]]/AuditData[[#This Row],[Total Audit Engagements]]</f>
        <v>3.9786710418375719E-2</v>
      </c>
      <c r="Q4" s="2">
        <f>IF(AuditData[[#This Row],[AI Used for Auditing]]="Yes",1,0)</f>
        <v>0</v>
      </c>
      <c r="R4" s="2" t="str">
        <f>IF(AuditData[[#This Row],[Audit Effectiveness Score]]&lt;=6.5,"Low (5-6,5)",IF(AuditData[[#This Row],[Audit Effectiveness Score]]&lt;=8,"Medium (6,5-8)","High (8-10)"))</f>
        <v>Low (5-6,5)</v>
      </c>
      <c r="S4" s="2" t="str">
        <f>IF(AuditData[[#This Row],[Client Satisfaction Score]]&lt;=6.5,"Low (5-6,5)",IF(AuditData[[#This Row],[Client Satisfaction Score]]&lt;=8,"Medium (6,5-8)","High (8-10)"))</f>
        <v>Low (5-6,5)</v>
      </c>
    </row>
    <row r="5" spans="1:19" x14ac:dyDescent="0.3">
      <c r="A5">
        <v>2021</v>
      </c>
      <c r="B5" t="s">
        <v>0</v>
      </c>
      <c r="C5">
        <v>2646</v>
      </c>
      <c r="D5">
        <v>397</v>
      </c>
      <c r="E5">
        <v>55</v>
      </c>
      <c r="F5">
        <v>97</v>
      </c>
      <c r="G5" t="s">
        <v>1</v>
      </c>
      <c r="H5" s="1">
        <v>229.11</v>
      </c>
      <c r="I5" t="s">
        <v>2</v>
      </c>
      <c r="J5">
        <v>60</v>
      </c>
      <c r="K5">
        <v>5.0999999999999996</v>
      </c>
      <c r="L5">
        <v>8.6</v>
      </c>
      <c r="M5" s="2">
        <f>AuditData[[#This Row],[High Risk Cases]]/AuditData[[#This Row],[Total Audit Engagements]]</f>
        <v>0.15003779289493574</v>
      </c>
      <c r="N5" s="2">
        <f>AuditData[[#This Row],[Compliance Violations]]/AuditData[[#This Row],[Total Audit Engagements]]</f>
        <v>2.0786092214663644E-2</v>
      </c>
      <c r="O5" s="1">
        <f>AuditData[[#This Row],[Total Revenue Impact (mln USD)]]/AuditData[[#This Row],[Fraud Cases Detected]]</f>
        <v>2.3619587628865979</v>
      </c>
      <c r="P5" s="2">
        <f>AuditData[[#This Row],[Fraud Cases Detected]]/AuditData[[#This Row],[Total Audit Engagements]]</f>
        <v>3.6659108087679519E-2</v>
      </c>
      <c r="Q5" s="2">
        <f>IF(AuditData[[#This Row],[AI Used for Auditing]]="Yes",1,0)</f>
        <v>0</v>
      </c>
      <c r="R5" s="2" t="str">
        <f>IF(AuditData[[#This Row],[Audit Effectiveness Score]]&lt;=6.5,"Low (5-6,5)",IF(AuditData[[#This Row],[Audit Effectiveness Score]]&lt;=8,"Medium (6,5-8)","High (8-10)"))</f>
        <v>Low (5-6,5)</v>
      </c>
      <c r="S5" s="2" t="str">
        <f>IF(AuditData[[#This Row],[Client Satisfaction Score]]&lt;=6.5,"Low (5-6,5)",IF(AuditData[[#This Row],[Client Satisfaction Score]]&lt;=8,"Medium (6,5-8)","High (8-10)"))</f>
        <v>High (8-10)</v>
      </c>
    </row>
    <row r="6" spans="1:19" x14ac:dyDescent="0.3">
      <c r="A6">
        <v>2020</v>
      </c>
      <c r="B6" t="s">
        <v>0</v>
      </c>
      <c r="C6">
        <v>2680</v>
      </c>
      <c r="D6">
        <v>216</v>
      </c>
      <c r="E6">
        <v>99</v>
      </c>
      <c r="F6">
        <v>46</v>
      </c>
      <c r="G6" t="s">
        <v>1</v>
      </c>
      <c r="H6" s="1">
        <v>48</v>
      </c>
      <c r="I6" t="s">
        <v>2</v>
      </c>
      <c r="J6">
        <v>51</v>
      </c>
      <c r="K6">
        <v>9.1</v>
      </c>
      <c r="L6">
        <v>6.7</v>
      </c>
      <c r="M6" s="2">
        <f>AuditData[[#This Row],[High Risk Cases]]/AuditData[[#This Row],[Total Audit Engagements]]</f>
        <v>8.0597014925373134E-2</v>
      </c>
      <c r="N6" s="2">
        <f>AuditData[[#This Row],[Compliance Violations]]/AuditData[[#This Row],[Total Audit Engagements]]</f>
        <v>3.6940298507462686E-2</v>
      </c>
      <c r="O6" s="1">
        <f>AuditData[[#This Row],[Total Revenue Impact (mln USD)]]/AuditData[[#This Row],[Fraud Cases Detected]]</f>
        <v>1.0434782608695652</v>
      </c>
      <c r="P6" s="2">
        <f>AuditData[[#This Row],[Fraud Cases Detected]]/AuditData[[#This Row],[Total Audit Engagements]]</f>
        <v>1.7164179104477612E-2</v>
      </c>
      <c r="Q6" s="2">
        <f>IF(AuditData[[#This Row],[AI Used for Auditing]]="Yes",1,0)</f>
        <v>0</v>
      </c>
      <c r="R6" s="2" t="str">
        <f>IF(AuditData[[#This Row],[Audit Effectiveness Score]]&lt;=6.5,"Low (5-6,5)",IF(AuditData[[#This Row],[Audit Effectiveness Score]]&lt;=8,"Medium (6,5-8)","High (8-10)"))</f>
        <v>High (8-10)</v>
      </c>
      <c r="S6" s="2" t="str">
        <f>IF(AuditData[[#This Row],[Client Satisfaction Score]]&lt;=6.5,"Low (5-6,5)",IF(AuditData[[#This Row],[Client Satisfaction Score]]&lt;=8,"Medium (6,5-8)","High (8-10)"))</f>
        <v>Medium (6,5-8)</v>
      </c>
    </row>
    <row r="7" spans="1:19" x14ac:dyDescent="0.3">
      <c r="A7">
        <v>2023</v>
      </c>
      <c r="B7" t="s">
        <v>3</v>
      </c>
      <c r="C7">
        <v>818</v>
      </c>
      <c r="D7">
        <v>448</v>
      </c>
      <c r="E7">
        <v>10</v>
      </c>
      <c r="F7">
        <v>30</v>
      </c>
      <c r="G7" t="s">
        <v>5</v>
      </c>
      <c r="H7" s="1">
        <v>438.89</v>
      </c>
      <c r="I7" t="s">
        <v>2</v>
      </c>
      <c r="J7">
        <v>73</v>
      </c>
      <c r="K7">
        <v>5.3</v>
      </c>
      <c r="L7">
        <v>7.1</v>
      </c>
      <c r="M7" s="2">
        <f>AuditData[[#This Row],[High Risk Cases]]/AuditData[[#This Row],[Total Audit Engagements]]</f>
        <v>0.5476772616136919</v>
      </c>
      <c r="N7" s="2">
        <f>AuditData[[#This Row],[Compliance Violations]]/AuditData[[#This Row],[Total Audit Engagements]]</f>
        <v>1.2224938875305624E-2</v>
      </c>
      <c r="O7" s="1">
        <f>AuditData[[#This Row],[Total Revenue Impact (mln USD)]]/AuditData[[#This Row],[Fraud Cases Detected]]</f>
        <v>14.629666666666667</v>
      </c>
      <c r="P7" s="2">
        <f>AuditData[[#This Row],[Fraud Cases Detected]]/AuditData[[#This Row],[Total Audit Engagements]]</f>
        <v>3.6674816625916873E-2</v>
      </c>
      <c r="Q7" s="2">
        <f>IF(AuditData[[#This Row],[AI Used for Auditing]]="Yes",1,0)</f>
        <v>0</v>
      </c>
      <c r="R7" s="2" t="str">
        <f>IF(AuditData[[#This Row],[Audit Effectiveness Score]]&lt;=6.5,"Low (5-6,5)",IF(AuditData[[#This Row],[Audit Effectiveness Score]]&lt;=8,"Medium (6,5-8)","High (8-10)"))</f>
        <v>Low (5-6,5)</v>
      </c>
      <c r="S7" s="2" t="str">
        <f>IF(AuditData[[#This Row],[Client Satisfaction Score]]&lt;=6.5,"Low (5-6,5)",IF(AuditData[[#This Row],[Client Satisfaction Score]]&lt;=8,"Medium (6,5-8)","High (8-10)"))</f>
        <v>Medium (6,5-8)</v>
      </c>
    </row>
    <row r="8" spans="1:19" x14ac:dyDescent="0.3">
      <c r="A8">
        <v>2022</v>
      </c>
      <c r="B8" t="s">
        <v>3</v>
      </c>
      <c r="C8">
        <v>1199</v>
      </c>
      <c r="D8">
        <v>148</v>
      </c>
      <c r="E8">
        <v>114</v>
      </c>
      <c r="F8">
        <v>11</v>
      </c>
      <c r="G8" t="s">
        <v>6</v>
      </c>
      <c r="H8" s="1">
        <v>468.82</v>
      </c>
      <c r="I8" t="s">
        <v>2</v>
      </c>
      <c r="J8">
        <v>53</v>
      </c>
      <c r="K8">
        <v>9.6</v>
      </c>
      <c r="L8">
        <v>6.3</v>
      </c>
      <c r="M8" s="2">
        <f>AuditData[[#This Row],[High Risk Cases]]/AuditData[[#This Row],[Total Audit Engagements]]</f>
        <v>0.12343619683069225</v>
      </c>
      <c r="N8" s="2">
        <f>AuditData[[#This Row],[Compliance Violations]]/AuditData[[#This Row],[Total Audit Engagements]]</f>
        <v>9.5079232693911594E-2</v>
      </c>
      <c r="O8" s="1">
        <f>AuditData[[#This Row],[Total Revenue Impact (mln USD)]]/AuditData[[#This Row],[Fraud Cases Detected]]</f>
        <v>42.62</v>
      </c>
      <c r="P8" s="2">
        <f>AuditData[[#This Row],[Fraud Cases Detected]]/AuditData[[#This Row],[Total Audit Engagements]]</f>
        <v>9.1743119266055051E-3</v>
      </c>
      <c r="Q8" s="2">
        <f>IF(AuditData[[#This Row],[AI Used for Auditing]]="Yes",1,0)</f>
        <v>0</v>
      </c>
      <c r="R8" s="2" t="str">
        <f>IF(AuditData[[#This Row],[Audit Effectiveness Score]]&lt;=6.5,"Low (5-6,5)",IF(AuditData[[#This Row],[Audit Effectiveness Score]]&lt;=8,"Medium (6,5-8)","High (8-10)"))</f>
        <v>High (8-10)</v>
      </c>
      <c r="S8" s="2" t="str">
        <f>IF(AuditData[[#This Row],[Client Satisfaction Score]]&lt;=6.5,"Low (5-6,5)",IF(AuditData[[#This Row],[Client Satisfaction Score]]&lt;=8,"Medium (6,5-8)","High (8-10)"))</f>
        <v>Low (5-6,5)</v>
      </c>
    </row>
    <row r="9" spans="1:19" x14ac:dyDescent="0.3">
      <c r="A9">
        <v>2020</v>
      </c>
      <c r="B9" t="s">
        <v>0</v>
      </c>
      <c r="C9">
        <v>4092</v>
      </c>
      <c r="D9">
        <v>500</v>
      </c>
      <c r="E9">
        <v>152</v>
      </c>
      <c r="F9">
        <v>69</v>
      </c>
      <c r="G9" t="s">
        <v>7</v>
      </c>
      <c r="H9" s="1">
        <v>53.85</v>
      </c>
      <c r="I9" t="s">
        <v>4</v>
      </c>
      <c r="J9">
        <v>80</v>
      </c>
      <c r="K9">
        <v>9.4</v>
      </c>
      <c r="L9">
        <v>9.5</v>
      </c>
      <c r="M9" s="2">
        <f>AuditData[[#This Row],[High Risk Cases]]/AuditData[[#This Row],[Total Audit Engagements]]</f>
        <v>0.12218963831867058</v>
      </c>
      <c r="N9" s="2">
        <f>AuditData[[#This Row],[Compliance Violations]]/AuditData[[#This Row],[Total Audit Engagements]]</f>
        <v>3.7145650048875857E-2</v>
      </c>
      <c r="O9" s="1">
        <f>AuditData[[#This Row],[Total Revenue Impact (mln USD)]]/AuditData[[#This Row],[Fraud Cases Detected]]</f>
        <v>0.7804347826086957</v>
      </c>
      <c r="P9" s="2">
        <f>AuditData[[#This Row],[Fraud Cases Detected]]/AuditData[[#This Row],[Total Audit Engagements]]</f>
        <v>1.6862170087976538E-2</v>
      </c>
      <c r="Q9" s="2">
        <f>IF(AuditData[[#This Row],[AI Used for Auditing]]="Yes",1,0)</f>
        <v>1</v>
      </c>
      <c r="R9" s="2" t="str">
        <f>IF(AuditData[[#This Row],[Audit Effectiveness Score]]&lt;=6.5,"Low (5-6,5)",IF(AuditData[[#This Row],[Audit Effectiveness Score]]&lt;=8,"Medium (6,5-8)","High (8-10)"))</f>
        <v>High (8-10)</v>
      </c>
      <c r="S9" s="2" t="str">
        <f>IF(AuditData[[#This Row],[Client Satisfaction Score]]&lt;=6.5,"Low (5-6,5)",IF(AuditData[[#This Row],[Client Satisfaction Score]]&lt;=8,"Medium (6,5-8)","High (8-10)"))</f>
        <v>High (8-10)</v>
      </c>
    </row>
    <row r="10" spans="1:19" x14ac:dyDescent="0.3">
      <c r="A10">
        <v>2021</v>
      </c>
      <c r="B10" t="s">
        <v>0</v>
      </c>
      <c r="C10">
        <v>4156</v>
      </c>
      <c r="D10">
        <v>362</v>
      </c>
      <c r="E10">
        <v>53</v>
      </c>
      <c r="F10">
        <v>95</v>
      </c>
      <c r="G10" t="s">
        <v>5</v>
      </c>
      <c r="H10" s="1">
        <v>318.79000000000002</v>
      </c>
      <c r="I10" t="s">
        <v>2</v>
      </c>
      <c r="J10">
        <v>56</v>
      </c>
      <c r="K10">
        <v>6</v>
      </c>
      <c r="L10">
        <v>6</v>
      </c>
      <c r="M10" s="2">
        <f>AuditData[[#This Row],[High Risk Cases]]/AuditData[[#This Row],[Total Audit Engagements]]</f>
        <v>8.7102983638113571E-2</v>
      </c>
      <c r="N10" s="2">
        <f>AuditData[[#This Row],[Compliance Violations]]/AuditData[[#This Row],[Total Audit Engagements]]</f>
        <v>1.275264677574591E-2</v>
      </c>
      <c r="O10" s="1">
        <f>AuditData[[#This Row],[Total Revenue Impact (mln USD)]]/AuditData[[#This Row],[Fraud Cases Detected]]</f>
        <v>3.355684210526316</v>
      </c>
      <c r="P10" s="2">
        <f>AuditData[[#This Row],[Fraud Cases Detected]]/AuditData[[#This Row],[Total Audit Engagements]]</f>
        <v>2.285851780558229E-2</v>
      </c>
      <c r="Q10" s="2">
        <f>IF(AuditData[[#This Row],[AI Used for Auditing]]="Yes",1,0)</f>
        <v>0</v>
      </c>
      <c r="R10" s="2" t="str">
        <f>IF(AuditData[[#This Row],[Audit Effectiveness Score]]&lt;=6.5,"Low (5-6,5)",IF(AuditData[[#This Row],[Audit Effectiveness Score]]&lt;=8,"Medium (6,5-8)","High (8-10)"))</f>
        <v>Low (5-6,5)</v>
      </c>
      <c r="S10" s="2" t="str">
        <f>IF(AuditData[[#This Row],[Client Satisfaction Score]]&lt;=6.5,"Low (5-6,5)",IF(AuditData[[#This Row],[Client Satisfaction Score]]&lt;=8,"Medium (6,5-8)","High (8-10)"))</f>
        <v>Low (5-6,5)</v>
      </c>
    </row>
    <row r="11" spans="1:19" x14ac:dyDescent="0.3">
      <c r="A11">
        <v>2021</v>
      </c>
      <c r="B11" t="s">
        <v>8</v>
      </c>
      <c r="C11">
        <v>2490</v>
      </c>
      <c r="D11">
        <v>74</v>
      </c>
      <c r="E11">
        <v>144</v>
      </c>
      <c r="F11">
        <v>22</v>
      </c>
      <c r="G11" t="s">
        <v>6</v>
      </c>
      <c r="H11" s="1">
        <v>461.33</v>
      </c>
      <c r="I11" t="s">
        <v>4</v>
      </c>
      <c r="J11">
        <v>66</v>
      </c>
      <c r="K11">
        <v>6.8</v>
      </c>
      <c r="L11">
        <v>7.3</v>
      </c>
      <c r="M11" s="2">
        <f>AuditData[[#This Row],[High Risk Cases]]/AuditData[[#This Row],[Total Audit Engagements]]</f>
        <v>2.9718875502008031E-2</v>
      </c>
      <c r="N11" s="2">
        <f>AuditData[[#This Row],[Compliance Violations]]/AuditData[[#This Row],[Total Audit Engagements]]</f>
        <v>5.7831325301204821E-2</v>
      </c>
      <c r="O11" s="1">
        <f>AuditData[[#This Row],[Total Revenue Impact (mln USD)]]/AuditData[[#This Row],[Fraud Cases Detected]]</f>
        <v>20.969545454545454</v>
      </c>
      <c r="P11" s="2">
        <f>AuditData[[#This Row],[Fraud Cases Detected]]/AuditData[[#This Row],[Total Audit Engagements]]</f>
        <v>8.8353413654618466E-3</v>
      </c>
      <c r="Q11" s="2">
        <f>IF(AuditData[[#This Row],[AI Used for Auditing]]="Yes",1,0)</f>
        <v>1</v>
      </c>
      <c r="R11" s="2" t="str">
        <f>IF(AuditData[[#This Row],[Audit Effectiveness Score]]&lt;=6.5,"Low (5-6,5)",IF(AuditData[[#This Row],[Audit Effectiveness Score]]&lt;=8,"Medium (6,5-8)","High (8-10)"))</f>
        <v>Medium (6,5-8)</v>
      </c>
      <c r="S11" s="2" t="str">
        <f>IF(AuditData[[#This Row],[Client Satisfaction Score]]&lt;=6.5,"Low (5-6,5)",IF(AuditData[[#This Row],[Client Satisfaction Score]]&lt;=8,"Medium (6,5-8)","High (8-10)"))</f>
        <v>Medium (6,5-8)</v>
      </c>
    </row>
    <row r="12" spans="1:19" x14ac:dyDescent="0.3">
      <c r="A12">
        <v>2020</v>
      </c>
      <c r="B12" t="s">
        <v>9</v>
      </c>
      <c r="C12">
        <v>1497</v>
      </c>
      <c r="D12">
        <v>330</v>
      </c>
      <c r="E12">
        <v>10</v>
      </c>
      <c r="F12">
        <v>10</v>
      </c>
      <c r="G12" t="s">
        <v>5</v>
      </c>
      <c r="H12" s="1">
        <v>258.49</v>
      </c>
      <c r="I12" t="s">
        <v>4</v>
      </c>
      <c r="J12">
        <v>59</v>
      </c>
      <c r="K12">
        <v>8.3000000000000007</v>
      </c>
      <c r="L12">
        <v>8</v>
      </c>
      <c r="M12" s="2">
        <f>AuditData[[#This Row],[High Risk Cases]]/AuditData[[#This Row],[Total Audit Engagements]]</f>
        <v>0.22044088176352705</v>
      </c>
      <c r="N12" s="2">
        <f>AuditData[[#This Row],[Compliance Violations]]/AuditData[[#This Row],[Total Audit Engagements]]</f>
        <v>6.6800267201068807E-3</v>
      </c>
      <c r="O12" s="1">
        <f>AuditData[[#This Row],[Total Revenue Impact (mln USD)]]/AuditData[[#This Row],[Fraud Cases Detected]]</f>
        <v>25.849</v>
      </c>
      <c r="P12" s="2">
        <f>AuditData[[#This Row],[Fraud Cases Detected]]/AuditData[[#This Row],[Total Audit Engagements]]</f>
        <v>6.6800267201068807E-3</v>
      </c>
      <c r="Q12" s="2">
        <f>IF(AuditData[[#This Row],[AI Used for Auditing]]="Yes",1,0)</f>
        <v>1</v>
      </c>
      <c r="R12" s="2" t="str">
        <f>IF(AuditData[[#This Row],[Audit Effectiveness Score]]&lt;=6.5,"Low (5-6,5)",IF(AuditData[[#This Row],[Audit Effectiveness Score]]&lt;=8,"Medium (6,5-8)","High (8-10)"))</f>
        <v>High (8-10)</v>
      </c>
      <c r="S12" s="2" t="str">
        <f>IF(AuditData[[#This Row],[Client Satisfaction Score]]&lt;=6.5,"Low (5-6,5)",IF(AuditData[[#This Row],[Client Satisfaction Score]]&lt;=8,"Medium (6,5-8)","High (8-10)"))</f>
        <v>Medium (6,5-8)</v>
      </c>
    </row>
    <row r="13" spans="1:19" x14ac:dyDescent="0.3">
      <c r="A13">
        <v>2024</v>
      </c>
      <c r="B13" t="s">
        <v>8</v>
      </c>
      <c r="C13">
        <v>2712</v>
      </c>
      <c r="D13">
        <v>408</v>
      </c>
      <c r="E13">
        <v>186</v>
      </c>
      <c r="F13">
        <v>61</v>
      </c>
      <c r="G13" t="s">
        <v>1</v>
      </c>
      <c r="H13" s="1">
        <v>224.92</v>
      </c>
      <c r="I13" t="s">
        <v>4</v>
      </c>
      <c r="J13">
        <v>78</v>
      </c>
      <c r="K13">
        <v>9.5</v>
      </c>
      <c r="L13">
        <v>8.9</v>
      </c>
      <c r="M13" s="2">
        <f>AuditData[[#This Row],[High Risk Cases]]/AuditData[[#This Row],[Total Audit Engagements]]</f>
        <v>0.15044247787610621</v>
      </c>
      <c r="N13" s="2">
        <f>AuditData[[#This Row],[Compliance Violations]]/AuditData[[#This Row],[Total Audit Engagements]]</f>
        <v>6.8584070796460173E-2</v>
      </c>
      <c r="O13" s="1">
        <f>AuditData[[#This Row],[Total Revenue Impact (mln USD)]]/AuditData[[#This Row],[Fraud Cases Detected]]</f>
        <v>3.6872131147540981</v>
      </c>
      <c r="P13" s="2">
        <f>AuditData[[#This Row],[Fraud Cases Detected]]/AuditData[[#This Row],[Total Audit Engagements]]</f>
        <v>2.2492625368731565E-2</v>
      </c>
      <c r="Q13" s="2">
        <f>IF(AuditData[[#This Row],[AI Used for Auditing]]="Yes",1,0)</f>
        <v>1</v>
      </c>
      <c r="R13" s="2" t="str">
        <f>IF(AuditData[[#This Row],[Audit Effectiveness Score]]&lt;=6.5,"Low (5-6,5)",IF(AuditData[[#This Row],[Audit Effectiveness Score]]&lt;=8,"Medium (6,5-8)","High (8-10)"))</f>
        <v>High (8-10)</v>
      </c>
      <c r="S13" s="2" t="str">
        <f>IF(AuditData[[#This Row],[Client Satisfaction Score]]&lt;=6.5,"Low (5-6,5)",IF(AuditData[[#This Row],[Client Satisfaction Score]]&lt;=8,"Medium (6,5-8)","High (8-10)"))</f>
        <v>High (8-10)</v>
      </c>
    </row>
    <row r="14" spans="1:19" x14ac:dyDescent="0.3">
      <c r="A14">
        <v>2024</v>
      </c>
      <c r="B14" t="s">
        <v>3</v>
      </c>
      <c r="C14">
        <v>2885</v>
      </c>
      <c r="D14">
        <v>469</v>
      </c>
      <c r="E14">
        <v>125</v>
      </c>
      <c r="F14">
        <v>92</v>
      </c>
      <c r="G14" t="s">
        <v>1</v>
      </c>
      <c r="H14" s="1">
        <v>418.49</v>
      </c>
      <c r="I14" t="s">
        <v>2</v>
      </c>
      <c r="J14">
        <v>58</v>
      </c>
      <c r="K14">
        <v>9.3000000000000007</v>
      </c>
      <c r="L14">
        <v>7.7</v>
      </c>
      <c r="M14" s="2">
        <f>AuditData[[#This Row],[High Risk Cases]]/AuditData[[#This Row],[Total Audit Engagements]]</f>
        <v>0.16256499133448873</v>
      </c>
      <c r="N14" s="2">
        <f>AuditData[[#This Row],[Compliance Violations]]/AuditData[[#This Row],[Total Audit Engagements]]</f>
        <v>4.3327556325823226E-2</v>
      </c>
      <c r="O14" s="1">
        <f>AuditData[[#This Row],[Total Revenue Impact (mln USD)]]/AuditData[[#This Row],[Fraud Cases Detected]]</f>
        <v>4.5488043478260867</v>
      </c>
      <c r="P14" s="2">
        <f>AuditData[[#This Row],[Fraud Cases Detected]]/AuditData[[#This Row],[Total Audit Engagements]]</f>
        <v>3.1889081455805893E-2</v>
      </c>
      <c r="Q14" s="2">
        <f>IF(AuditData[[#This Row],[AI Used for Auditing]]="Yes",1,0)</f>
        <v>0</v>
      </c>
      <c r="R14" s="2" t="str">
        <f>IF(AuditData[[#This Row],[Audit Effectiveness Score]]&lt;=6.5,"Low (5-6,5)",IF(AuditData[[#This Row],[Audit Effectiveness Score]]&lt;=8,"Medium (6,5-8)","High (8-10)"))</f>
        <v>High (8-10)</v>
      </c>
      <c r="S14" s="2" t="str">
        <f>IF(AuditData[[#This Row],[Client Satisfaction Score]]&lt;=6.5,"Low (5-6,5)",IF(AuditData[[#This Row],[Client Satisfaction Score]]&lt;=8,"Medium (6,5-8)","High (8-10)"))</f>
        <v>Medium (6,5-8)</v>
      </c>
    </row>
    <row r="15" spans="1:19" x14ac:dyDescent="0.3">
      <c r="A15">
        <v>2023</v>
      </c>
      <c r="B15" t="s">
        <v>0</v>
      </c>
      <c r="C15">
        <v>2267</v>
      </c>
      <c r="D15">
        <v>164</v>
      </c>
      <c r="E15">
        <v>125</v>
      </c>
      <c r="F15">
        <v>42</v>
      </c>
      <c r="G15" t="s">
        <v>6</v>
      </c>
      <c r="H15" s="1">
        <v>445.62</v>
      </c>
      <c r="I15" t="s">
        <v>4</v>
      </c>
      <c r="J15">
        <v>58</v>
      </c>
      <c r="K15">
        <v>7.3</v>
      </c>
      <c r="L15">
        <v>7.7</v>
      </c>
      <c r="M15" s="2">
        <f>AuditData[[#This Row],[High Risk Cases]]/AuditData[[#This Row],[Total Audit Engagements]]</f>
        <v>7.2342302602558445E-2</v>
      </c>
      <c r="N15" s="2">
        <f>AuditData[[#This Row],[Compliance Violations]]/AuditData[[#This Row],[Total Audit Engagements]]</f>
        <v>5.5138950154389063E-2</v>
      </c>
      <c r="O15" s="1">
        <f>AuditData[[#This Row],[Total Revenue Impact (mln USD)]]/AuditData[[#This Row],[Fraud Cases Detected]]</f>
        <v>10.61</v>
      </c>
      <c r="P15" s="2">
        <f>AuditData[[#This Row],[Fraud Cases Detected]]/AuditData[[#This Row],[Total Audit Engagements]]</f>
        <v>1.8526687251874726E-2</v>
      </c>
      <c r="Q15" s="2">
        <f>IF(AuditData[[#This Row],[AI Used for Auditing]]="Yes",1,0)</f>
        <v>1</v>
      </c>
      <c r="R15" s="2" t="str">
        <f>IF(AuditData[[#This Row],[Audit Effectiveness Score]]&lt;=6.5,"Low (5-6,5)",IF(AuditData[[#This Row],[Audit Effectiveness Score]]&lt;=8,"Medium (6,5-8)","High (8-10)"))</f>
        <v>Medium (6,5-8)</v>
      </c>
      <c r="S15" s="2" t="str">
        <f>IF(AuditData[[#This Row],[Client Satisfaction Score]]&lt;=6.5,"Low (5-6,5)",IF(AuditData[[#This Row],[Client Satisfaction Score]]&lt;=8,"Medium (6,5-8)","High (8-10)"))</f>
        <v>Medium (6,5-8)</v>
      </c>
    </row>
    <row r="16" spans="1:19" x14ac:dyDescent="0.3">
      <c r="A16">
        <v>2020</v>
      </c>
      <c r="B16" t="s">
        <v>0</v>
      </c>
      <c r="C16">
        <v>2333</v>
      </c>
      <c r="D16">
        <v>358</v>
      </c>
      <c r="E16">
        <v>48</v>
      </c>
      <c r="F16">
        <v>17</v>
      </c>
      <c r="G16" t="s">
        <v>6</v>
      </c>
      <c r="H16" s="1">
        <v>388.5</v>
      </c>
      <c r="I16" t="s">
        <v>4</v>
      </c>
      <c r="J16">
        <v>40</v>
      </c>
      <c r="K16">
        <v>10</v>
      </c>
      <c r="L16">
        <v>8.3000000000000007</v>
      </c>
      <c r="M16" s="2">
        <f>AuditData[[#This Row],[High Risk Cases]]/AuditData[[#This Row],[Total Audit Engagements]]</f>
        <v>0.15345049292756108</v>
      </c>
      <c r="N16" s="2">
        <f>AuditData[[#This Row],[Compliance Violations]]/AuditData[[#This Row],[Total Audit Engagements]]</f>
        <v>2.0574367766823833E-2</v>
      </c>
      <c r="O16" s="1">
        <f>AuditData[[#This Row],[Total Revenue Impact (mln USD)]]/AuditData[[#This Row],[Fraud Cases Detected]]</f>
        <v>22.852941176470587</v>
      </c>
      <c r="P16" s="2">
        <f>AuditData[[#This Row],[Fraud Cases Detected]]/AuditData[[#This Row],[Total Audit Engagements]]</f>
        <v>7.2867552507501071E-3</v>
      </c>
      <c r="Q16" s="2">
        <f>IF(AuditData[[#This Row],[AI Used for Auditing]]="Yes",1,0)</f>
        <v>1</v>
      </c>
      <c r="R16" s="2" t="str">
        <f>IF(AuditData[[#This Row],[Audit Effectiveness Score]]&lt;=6.5,"Low (5-6,5)",IF(AuditData[[#This Row],[Audit Effectiveness Score]]&lt;=8,"Medium (6,5-8)","High (8-10)"))</f>
        <v>High (8-10)</v>
      </c>
      <c r="S16" s="2" t="str">
        <f>IF(AuditData[[#This Row],[Client Satisfaction Score]]&lt;=6.5,"Low (5-6,5)",IF(AuditData[[#This Row],[Client Satisfaction Score]]&lt;=8,"Medium (6,5-8)","High (8-10)"))</f>
        <v>High (8-10)</v>
      </c>
    </row>
    <row r="17" spans="1:19" x14ac:dyDescent="0.3">
      <c r="A17">
        <v>2021</v>
      </c>
      <c r="B17" t="s">
        <v>3</v>
      </c>
      <c r="C17">
        <v>3490</v>
      </c>
      <c r="D17">
        <v>127</v>
      </c>
      <c r="E17">
        <v>17</v>
      </c>
      <c r="F17">
        <v>62</v>
      </c>
      <c r="G17" t="s">
        <v>5</v>
      </c>
      <c r="H17" s="1">
        <v>495.19</v>
      </c>
      <c r="I17" t="s">
        <v>4</v>
      </c>
      <c r="J17">
        <v>52</v>
      </c>
      <c r="K17">
        <v>8.4</v>
      </c>
      <c r="L17">
        <v>7.5</v>
      </c>
      <c r="M17" s="2">
        <f>AuditData[[#This Row],[High Risk Cases]]/AuditData[[#This Row],[Total Audit Engagements]]</f>
        <v>3.6389684813753584E-2</v>
      </c>
      <c r="N17" s="2">
        <f>AuditData[[#This Row],[Compliance Violations]]/AuditData[[#This Row],[Total Audit Engagements]]</f>
        <v>4.8710601719197709E-3</v>
      </c>
      <c r="O17" s="1">
        <f>AuditData[[#This Row],[Total Revenue Impact (mln USD)]]/AuditData[[#This Row],[Fraud Cases Detected]]</f>
        <v>7.9869354838709681</v>
      </c>
      <c r="P17" s="2">
        <f>AuditData[[#This Row],[Fraud Cases Detected]]/AuditData[[#This Row],[Total Audit Engagements]]</f>
        <v>1.7765042979942695E-2</v>
      </c>
      <c r="Q17" s="2">
        <f>IF(AuditData[[#This Row],[AI Used for Auditing]]="Yes",1,0)</f>
        <v>1</v>
      </c>
      <c r="R17" s="2" t="str">
        <f>IF(AuditData[[#This Row],[Audit Effectiveness Score]]&lt;=6.5,"Low (5-6,5)",IF(AuditData[[#This Row],[Audit Effectiveness Score]]&lt;=8,"Medium (6,5-8)","High (8-10)"))</f>
        <v>High (8-10)</v>
      </c>
      <c r="S17" s="2" t="str">
        <f>IF(AuditData[[#This Row],[Client Satisfaction Score]]&lt;=6.5,"Low (5-6,5)",IF(AuditData[[#This Row],[Client Satisfaction Score]]&lt;=8,"Medium (6,5-8)","High (8-10)"))</f>
        <v>Medium (6,5-8)</v>
      </c>
    </row>
    <row r="18" spans="1:19" x14ac:dyDescent="0.3">
      <c r="A18">
        <v>2020</v>
      </c>
      <c r="B18" t="s">
        <v>8</v>
      </c>
      <c r="C18">
        <v>3264</v>
      </c>
      <c r="D18">
        <v>435</v>
      </c>
      <c r="E18">
        <v>82</v>
      </c>
      <c r="F18">
        <v>18</v>
      </c>
      <c r="G18" t="s">
        <v>7</v>
      </c>
      <c r="H18" s="1">
        <v>61.17</v>
      </c>
      <c r="I18" t="s">
        <v>4</v>
      </c>
      <c r="J18">
        <v>76</v>
      </c>
      <c r="K18">
        <v>5.3</v>
      </c>
      <c r="L18">
        <v>7.1</v>
      </c>
      <c r="M18" s="2">
        <f>AuditData[[#This Row],[High Risk Cases]]/AuditData[[#This Row],[Total Audit Engagements]]</f>
        <v>0.13327205882352941</v>
      </c>
      <c r="N18" s="2">
        <f>AuditData[[#This Row],[Compliance Violations]]/AuditData[[#This Row],[Total Audit Engagements]]</f>
        <v>2.5122549019607844E-2</v>
      </c>
      <c r="O18" s="1">
        <f>AuditData[[#This Row],[Total Revenue Impact (mln USD)]]/AuditData[[#This Row],[Fraud Cases Detected]]</f>
        <v>3.3983333333333334</v>
      </c>
      <c r="P18" s="2">
        <f>AuditData[[#This Row],[Fraud Cases Detected]]/AuditData[[#This Row],[Total Audit Engagements]]</f>
        <v>5.5147058823529415E-3</v>
      </c>
      <c r="Q18" s="2">
        <f>IF(AuditData[[#This Row],[AI Used for Auditing]]="Yes",1,0)</f>
        <v>1</v>
      </c>
      <c r="R18" s="2" t="str">
        <f>IF(AuditData[[#This Row],[Audit Effectiveness Score]]&lt;=6.5,"Low (5-6,5)",IF(AuditData[[#This Row],[Audit Effectiveness Score]]&lt;=8,"Medium (6,5-8)","High (8-10)"))</f>
        <v>Low (5-6,5)</v>
      </c>
      <c r="S18" s="2" t="str">
        <f>IF(AuditData[[#This Row],[Client Satisfaction Score]]&lt;=6.5,"Low (5-6,5)",IF(AuditData[[#This Row],[Client Satisfaction Score]]&lt;=8,"Medium (6,5-8)","High (8-10)"))</f>
        <v>Medium (6,5-8)</v>
      </c>
    </row>
    <row r="19" spans="1:19" x14ac:dyDescent="0.3">
      <c r="A19">
        <v>2022</v>
      </c>
      <c r="B19" t="s">
        <v>3</v>
      </c>
      <c r="C19">
        <v>4813</v>
      </c>
      <c r="D19">
        <v>249</v>
      </c>
      <c r="E19">
        <v>81</v>
      </c>
      <c r="F19">
        <v>64</v>
      </c>
      <c r="G19" t="s">
        <v>6</v>
      </c>
      <c r="H19" s="1">
        <v>182.9</v>
      </c>
      <c r="I19" t="s">
        <v>2</v>
      </c>
      <c r="J19">
        <v>67</v>
      </c>
      <c r="K19">
        <v>9.8000000000000007</v>
      </c>
      <c r="L19">
        <v>7.5</v>
      </c>
      <c r="M19" s="2">
        <f>AuditData[[#This Row],[High Risk Cases]]/AuditData[[#This Row],[Total Audit Engagements]]</f>
        <v>5.1734884687305215E-2</v>
      </c>
      <c r="N19" s="2">
        <f>AuditData[[#This Row],[Compliance Violations]]/AuditData[[#This Row],[Total Audit Engagements]]</f>
        <v>1.6829420319966756E-2</v>
      </c>
      <c r="O19" s="1">
        <f>AuditData[[#This Row],[Total Revenue Impact (mln USD)]]/AuditData[[#This Row],[Fraud Cases Detected]]</f>
        <v>2.8578125000000001</v>
      </c>
      <c r="P19" s="2">
        <f>AuditData[[#This Row],[Fraud Cases Detected]]/AuditData[[#This Row],[Total Audit Engagements]]</f>
        <v>1.3297319758986079E-2</v>
      </c>
      <c r="Q19" s="2">
        <f>IF(AuditData[[#This Row],[AI Used for Auditing]]="Yes",1,0)</f>
        <v>0</v>
      </c>
      <c r="R19" s="2" t="str">
        <f>IF(AuditData[[#This Row],[Audit Effectiveness Score]]&lt;=6.5,"Low (5-6,5)",IF(AuditData[[#This Row],[Audit Effectiveness Score]]&lt;=8,"Medium (6,5-8)","High (8-10)"))</f>
        <v>High (8-10)</v>
      </c>
      <c r="S19" s="2" t="str">
        <f>IF(AuditData[[#This Row],[Client Satisfaction Score]]&lt;=6.5,"Low (5-6,5)",IF(AuditData[[#This Row],[Client Satisfaction Score]]&lt;=8,"Medium (6,5-8)","High (8-10)"))</f>
        <v>Medium (6,5-8)</v>
      </c>
    </row>
    <row r="20" spans="1:19" x14ac:dyDescent="0.3">
      <c r="A20">
        <v>2022</v>
      </c>
      <c r="B20" t="s">
        <v>3</v>
      </c>
      <c r="C20">
        <v>2804</v>
      </c>
      <c r="D20">
        <v>273</v>
      </c>
      <c r="E20">
        <v>87</v>
      </c>
      <c r="F20">
        <v>36</v>
      </c>
      <c r="G20" t="s">
        <v>1</v>
      </c>
      <c r="H20" s="1">
        <v>243.85</v>
      </c>
      <c r="I20" t="s">
        <v>2</v>
      </c>
      <c r="J20">
        <v>46</v>
      </c>
      <c r="K20">
        <v>6.6</v>
      </c>
      <c r="L20">
        <v>9.5</v>
      </c>
      <c r="M20" s="2">
        <f>AuditData[[#This Row],[High Risk Cases]]/AuditData[[#This Row],[Total Audit Engagements]]</f>
        <v>9.7360912981455064E-2</v>
      </c>
      <c r="N20" s="2">
        <f>AuditData[[#This Row],[Compliance Violations]]/AuditData[[#This Row],[Total Audit Engagements]]</f>
        <v>3.1027104136947217E-2</v>
      </c>
      <c r="O20" s="1">
        <f>AuditData[[#This Row],[Total Revenue Impact (mln USD)]]/AuditData[[#This Row],[Fraud Cases Detected]]</f>
        <v>6.7736111111111112</v>
      </c>
      <c r="P20" s="2">
        <f>AuditData[[#This Row],[Fraud Cases Detected]]/AuditData[[#This Row],[Total Audit Engagements]]</f>
        <v>1.2838801711840228E-2</v>
      </c>
      <c r="Q20" s="2">
        <f>IF(AuditData[[#This Row],[AI Used for Auditing]]="Yes",1,0)</f>
        <v>0</v>
      </c>
      <c r="R20" s="2" t="str">
        <f>IF(AuditData[[#This Row],[Audit Effectiveness Score]]&lt;=6.5,"Low (5-6,5)",IF(AuditData[[#This Row],[Audit Effectiveness Score]]&lt;=8,"Medium (6,5-8)","High (8-10)"))</f>
        <v>Medium (6,5-8)</v>
      </c>
      <c r="S20" s="2" t="str">
        <f>IF(AuditData[[#This Row],[Client Satisfaction Score]]&lt;=6.5,"Low (5-6,5)",IF(AuditData[[#This Row],[Client Satisfaction Score]]&lt;=8,"Medium (6,5-8)","High (8-10)"))</f>
        <v>High (8-10)</v>
      </c>
    </row>
    <row r="21" spans="1:19" x14ac:dyDescent="0.3">
      <c r="A21">
        <v>2021</v>
      </c>
      <c r="B21" t="s">
        <v>9</v>
      </c>
      <c r="C21">
        <v>2239</v>
      </c>
      <c r="D21">
        <v>78</v>
      </c>
      <c r="E21">
        <v>30</v>
      </c>
      <c r="F21">
        <v>14</v>
      </c>
      <c r="G21" t="s">
        <v>7</v>
      </c>
      <c r="H21" s="1">
        <v>129.97999999999999</v>
      </c>
      <c r="I21" t="s">
        <v>4</v>
      </c>
      <c r="J21">
        <v>53</v>
      </c>
      <c r="K21">
        <v>8</v>
      </c>
      <c r="L21">
        <v>7.6</v>
      </c>
      <c r="M21" s="2">
        <f>AuditData[[#This Row],[High Risk Cases]]/AuditData[[#This Row],[Total Audit Engagements]]</f>
        <v>3.4836980794997766E-2</v>
      </c>
      <c r="N21" s="2">
        <f>AuditData[[#This Row],[Compliance Violations]]/AuditData[[#This Row],[Total Audit Engagements]]</f>
        <v>1.3398838767306834E-2</v>
      </c>
      <c r="O21" s="1">
        <f>AuditData[[#This Row],[Total Revenue Impact (mln USD)]]/AuditData[[#This Row],[Fraud Cases Detected]]</f>
        <v>9.2842857142857138</v>
      </c>
      <c r="P21" s="2">
        <f>AuditData[[#This Row],[Fraud Cases Detected]]/AuditData[[#This Row],[Total Audit Engagements]]</f>
        <v>6.2527914247431891E-3</v>
      </c>
      <c r="Q21" s="2">
        <f>IF(AuditData[[#This Row],[AI Used for Auditing]]="Yes",1,0)</f>
        <v>1</v>
      </c>
      <c r="R21" s="2" t="str">
        <f>IF(AuditData[[#This Row],[Audit Effectiveness Score]]&lt;=6.5,"Low (5-6,5)",IF(AuditData[[#This Row],[Audit Effectiveness Score]]&lt;=8,"Medium (6,5-8)","High (8-10)"))</f>
        <v>Medium (6,5-8)</v>
      </c>
      <c r="S21" s="2" t="str">
        <f>IF(AuditData[[#This Row],[Client Satisfaction Score]]&lt;=6.5,"Low (5-6,5)",IF(AuditData[[#This Row],[Client Satisfaction Score]]&lt;=8,"Medium (6,5-8)","High (8-10)"))</f>
        <v>Medium (6,5-8)</v>
      </c>
    </row>
    <row r="22" spans="1:19" x14ac:dyDescent="0.3">
      <c r="A22">
        <v>2024</v>
      </c>
      <c r="B22" t="s">
        <v>3</v>
      </c>
      <c r="C22">
        <v>1581</v>
      </c>
      <c r="D22">
        <v>247</v>
      </c>
      <c r="E22">
        <v>181</v>
      </c>
      <c r="F22">
        <v>72</v>
      </c>
      <c r="G22" t="s">
        <v>6</v>
      </c>
      <c r="H22" s="1">
        <v>221.42</v>
      </c>
      <c r="I22" t="s">
        <v>2</v>
      </c>
      <c r="J22">
        <v>56</v>
      </c>
      <c r="K22">
        <v>5.6</v>
      </c>
      <c r="L22">
        <v>7.9</v>
      </c>
      <c r="M22" s="2">
        <f>AuditData[[#This Row],[High Risk Cases]]/AuditData[[#This Row],[Total Audit Engagements]]</f>
        <v>0.1562302340290955</v>
      </c>
      <c r="N22" s="2">
        <f>AuditData[[#This Row],[Compliance Violations]]/AuditData[[#This Row],[Total Audit Engagements]]</f>
        <v>0.11448450347881088</v>
      </c>
      <c r="O22" s="1">
        <f>AuditData[[#This Row],[Total Revenue Impact (mln USD)]]/AuditData[[#This Row],[Fraud Cases Detected]]</f>
        <v>3.0752777777777776</v>
      </c>
      <c r="P22" s="2">
        <f>AuditData[[#This Row],[Fraud Cases Detected]]/AuditData[[#This Row],[Total Audit Engagements]]</f>
        <v>4.5540796963946868E-2</v>
      </c>
      <c r="Q22" s="2">
        <f>IF(AuditData[[#This Row],[AI Used for Auditing]]="Yes",1,0)</f>
        <v>0</v>
      </c>
      <c r="R22" s="2" t="str">
        <f>IF(AuditData[[#This Row],[Audit Effectiveness Score]]&lt;=6.5,"Low (5-6,5)",IF(AuditData[[#This Row],[Audit Effectiveness Score]]&lt;=8,"Medium (6,5-8)","High (8-10)"))</f>
        <v>Low (5-6,5)</v>
      </c>
      <c r="S22" s="2" t="str">
        <f>IF(AuditData[[#This Row],[Client Satisfaction Score]]&lt;=6.5,"Low (5-6,5)",IF(AuditData[[#This Row],[Client Satisfaction Score]]&lt;=8,"Medium (6,5-8)","High (8-10)"))</f>
        <v>Medium (6,5-8)</v>
      </c>
    </row>
    <row r="23" spans="1:19" x14ac:dyDescent="0.3">
      <c r="A23">
        <v>2025</v>
      </c>
      <c r="B23" t="s">
        <v>3</v>
      </c>
      <c r="C23">
        <v>760</v>
      </c>
      <c r="D23">
        <v>406</v>
      </c>
      <c r="E23">
        <v>65</v>
      </c>
      <c r="F23">
        <v>69</v>
      </c>
      <c r="G23" t="s">
        <v>5</v>
      </c>
      <c r="H23" s="1">
        <v>140.29</v>
      </c>
      <c r="I23" t="s">
        <v>4</v>
      </c>
      <c r="J23">
        <v>40</v>
      </c>
      <c r="K23">
        <v>5.0999999999999996</v>
      </c>
      <c r="L23">
        <v>7.5</v>
      </c>
      <c r="M23" s="2">
        <f>AuditData[[#This Row],[High Risk Cases]]/AuditData[[#This Row],[Total Audit Engagements]]</f>
        <v>0.53421052631578947</v>
      </c>
      <c r="N23" s="2">
        <f>AuditData[[#This Row],[Compliance Violations]]/AuditData[[#This Row],[Total Audit Engagements]]</f>
        <v>8.5526315789473686E-2</v>
      </c>
      <c r="O23" s="1">
        <f>AuditData[[#This Row],[Total Revenue Impact (mln USD)]]/AuditData[[#This Row],[Fraud Cases Detected]]</f>
        <v>2.0331884057971013</v>
      </c>
      <c r="P23" s="2">
        <f>AuditData[[#This Row],[Fraud Cases Detected]]/AuditData[[#This Row],[Total Audit Engagements]]</f>
        <v>9.0789473684210531E-2</v>
      </c>
      <c r="Q23" s="2">
        <f>IF(AuditData[[#This Row],[AI Used for Auditing]]="Yes",1,0)</f>
        <v>1</v>
      </c>
      <c r="R23" s="2" t="str">
        <f>IF(AuditData[[#This Row],[Audit Effectiveness Score]]&lt;=6.5,"Low (5-6,5)",IF(AuditData[[#This Row],[Audit Effectiveness Score]]&lt;=8,"Medium (6,5-8)","High (8-10)"))</f>
        <v>Low (5-6,5)</v>
      </c>
      <c r="S23" s="2" t="str">
        <f>IF(AuditData[[#This Row],[Client Satisfaction Score]]&lt;=6.5,"Low (5-6,5)",IF(AuditData[[#This Row],[Client Satisfaction Score]]&lt;=8,"Medium (6,5-8)","High (8-10)"))</f>
        <v>Medium (6,5-8)</v>
      </c>
    </row>
    <row r="24" spans="1:19" x14ac:dyDescent="0.3">
      <c r="A24">
        <v>2023</v>
      </c>
      <c r="B24" t="s">
        <v>0</v>
      </c>
      <c r="C24">
        <v>2238</v>
      </c>
      <c r="D24">
        <v>101</v>
      </c>
      <c r="E24">
        <v>184</v>
      </c>
      <c r="F24">
        <v>79</v>
      </c>
      <c r="G24" t="s">
        <v>6</v>
      </c>
      <c r="H24" s="1">
        <v>216.84</v>
      </c>
      <c r="I24" t="s">
        <v>4</v>
      </c>
      <c r="J24">
        <v>65</v>
      </c>
      <c r="K24">
        <v>7</v>
      </c>
      <c r="L24">
        <v>7.1</v>
      </c>
      <c r="M24" s="2">
        <f>AuditData[[#This Row],[High Risk Cases]]/AuditData[[#This Row],[Total Audit Engagements]]</f>
        <v>4.5129579982126897E-2</v>
      </c>
      <c r="N24" s="2">
        <f>AuditData[[#This Row],[Compliance Violations]]/AuditData[[#This Row],[Total Audit Engagements]]</f>
        <v>8.2216264521894553E-2</v>
      </c>
      <c r="O24" s="1">
        <f>AuditData[[#This Row],[Total Revenue Impact (mln USD)]]/AuditData[[#This Row],[Fraud Cases Detected]]</f>
        <v>2.7448101265822786</v>
      </c>
      <c r="P24" s="2">
        <f>AuditData[[#This Row],[Fraud Cases Detected]]/AuditData[[#This Row],[Total Audit Engagements]]</f>
        <v>3.5299374441465595E-2</v>
      </c>
      <c r="Q24" s="2">
        <f>IF(AuditData[[#This Row],[AI Used for Auditing]]="Yes",1,0)</f>
        <v>1</v>
      </c>
      <c r="R24" s="2" t="str">
        <f>IF(AuditData[[#This Row],[Audit Effectiveness Score]]&lt;=6.5,"Low (5-6,5)",IF(AuditData[[#This Row],[Audit Effectiveness Score]]&lt;=8,"Medium (6,5-8)","High (8-10)"))</f>
        <v>Medium (6,5-8)</v>
      </c>
      <c r="S24" s="2" t="str">
        <f>IF(AuditData[[#This Row],[Client Satisfaction Score]]&lt;=6.5,"Low (5-6,5)",IF(AuditData[[#This Row],[Client Satisfaction Score]]&lt;=8,"Medium (6,5-8)","High (8-10)"))</f>
        <v>Medium (6,5-8)</v>
      </c>
    </row>
    <row r="25" spans="1:19" x14ac:dyDescent="0.3">
      <c r="A25">
        <v>2024</v>
      </c>
      <c r="B25" t="s">
        <v>8</v>
      </c>
      <c r="C25">
        <v>1760</v>
      </c>
      <c r="D25">
        <v>415</v>
      </c>
      <c r="E25">
        <v>183</v>
      </c>
      <c r="F25">
        <v>11</v>
      </c>
      <c r="G25" t="s">
        <v>1</v>
      </c>
      <c r="H25" s="1">
        <v>291</v>
      </c>
      <c r="I25" t="s">
        <v>4</v>
      </c>
      <c r="J25">
        <v>53</v>
      </c>
      <c r="K25">
        <v>8.1999999999999993</v>
      </c>
      <c r="L25">
        <v>8.4</v>
      </c>
      <c r="M25" s="2">
        <f>AuditData[[#This Row],[High Risk Cases]]/AuditData[[#This Row],[Total Audit Engagements]]</f>
        <v>0.23579545454545456</v>
      </c>
      <c r="N25" s="2">
        <f>AuditData[[#This Row],[Compliance Violations]]/AuditData[[#This Row],[Total Audit Engagements]]</f>
        <v>0.10397727272727272</v>
      </c>
      <c r="O25" s="1">
        <f>AuditData[[#This Row],[Total Revenue Impact (mln USD)]]/AuditData[[#This Row],[Fraud Cases Detected]]</f>
        <v>26.454545454545453</v>
      </c>
      <c r="P25" s="2">
        <f>AuditData[[#This Row],[Fraud Cases Detected]]/AuditData[[#This Row],[Total Audit Engagements]]</f>
        <v>6.2500000000000003E-3</v>
      </c>
      <c r="Q25" s="2">
        <f>IF(AuditData[[#This Row],[AI Used for Auditing]]="Yes",1,0)</f>
        <v>1</v>
      </c>
      <c r="R25" s="2" t="str">
        <f>IF(AuditData[[#This Row],[Audit Effectiveness Score]]&lt;=6.5,"Low (5-6,5)",IF(AuditData[[#This Row],[Audit Effectiveness Score]]&lt;=8,"Medium (6,5-8)","High (8-10)"))</f>
        <v>High (8-10)</v>
      </c>
      <c r="S25" s="2" t="str">
        <f>IF(AuditData[[#This Row],[Client Satisfaction Score]]&lt;=6.5,"Low (5-6,5)",IF(AuditData[[#This Row],[Client Satisfaction Score]]&lt;=8,"Medium (6,5-8)","High (8-10)"))</f>
        <v>High (8-10)</v>
      </c>
    </row>
    <row r="26" spans="1:19" x14ac:dyDescent="0.3">
      <c r="A26">
        <v>2024</v>
      </c>
      <c r="B26" t="s">
        <v>0</v>
      </c>
      <c r="C26">
        <v>4103</v>
      </c>
      <c r="D26">
        <v>423</v>
      </c>
      <c r="E26">
        <v>179</v>
      </c>
      <c r="F26">
        <v>30</v>
      </c>
      <c r="G26" t="s">
        <v>1</v>
      </c>
      <c r="H26" s="1">
        <v>225.42</v>
      </c>
      <c r="I26" t="s">
        <v>4</v>
      </c>
      <c r="J26">
        <v>41</v>
      </c>
      <c r="K26">
        <v>6.7</v>
      </c>
      <c r="L26">
        <v>5</v>
      </c>
      <c r="M26" s="2">
        <f>AuditData[[#This Row],[High Risk Cases]]/AuditData[[#This Row],[Total Audit Engagements]]</f>
        <v>0.10309529612478674</v>
      </c>
      <c r="N26" s="2">
        <f>AuditData[[#This Row],[Compliance Violations]]/AuditData[[#This Row],[Total Audit Engagements]]</f>
        <v>4.3626614672191082E-2</v>
      </c>
      <c r="O26" s="1">
        <f>AuditData[[#This Row],[Total Revenue Impact (mln USD)]]/AuditData[[#This Row],[Fraud Cases Detected]]</f>
        <v>7.5139999999999993</v>
      </c>
      <c r="P26" s="2">
        <f>AuditData[[#This Row],[Fraud Cases Detected]]/AuditData[[#This Row],[Total Audit Engagements]]</f>
        <v>7.3117231294174993E-3</v>
      </c>
      <c r="Q26" s="2">
        <f>IF(AuditData[[#This Row],[AI Used for Auditing]]="Yes",1,0)</f>
        <v>1</v>
      </c>
      <c r="R26" s="2" t="str">
        <f>IF(AuditData[[#This Row],[Audit Effectiveness Score]]&lt;=6.5,"Low (5-6,5)",IF(AuditData[[#This Row],[Audit Effectiveness Score]]&lt;=8,"Medium (6,5-8)","High (8-10)"))</f>
        <v>Medium (6,5-8)</v>
      </c>
      <c r="S26" s="2" t="str">
        <f>IF(AuditData[[#This Row],[Client Satisfaction Score]]&lt;=6.5,"Low (5-6,5)",IF(AuditData[[#This Row],[Client Satisfaction Score]]&lt;=8,"Medium (6,5-8)","High (8-10)"))</f>
        <v>Low (5-6,5)</v>
      </c>
    </row>
    <row r="27" spans="1:19" x14ac:dyDescent="0.3">
      <c r="A27">
        <v>2025</v>
      </c>
      <c r="B27" t="s">
        <v>0</v>
      </c>
      <c r="C27">
        <v>4470</v>
      </c>
      <c r="D27">
        <v>63</v>
      </c>
      <c r="E27">
        <v>49</v>
      </c>
      <c r="F27">
        <v>54</v>
      </c>
      <c r="G27" t="s">
        <v>7</v>
      </c>
      <c r="H27" s="1">
        <v>213.92</v>
      </c>
      <c r="I27" t="s">
        <v>4</v>
      </c>
      <c r="J27">
        <v>43</v>
      </c>
      <c r="K27">
        <v>5.8</v>
      </c>
      <c r="L27">
        <v>5.6</v>
      </c>
      <c r="M27" s="2">
        <f>AuditData[[#This Row],[High Risk Cases]]/AuditData[[#This Row],[Total Audit Engagements]]</f>
        <v>1.4093959731543624E-2</v>
      </c>
      <c r="N27" s="2">
        <f>AuditData[[#This Row],[Compliance Violations]]/AuditData[[#This Row],[Total Audit Engagements]]</f>
        <v>1.0961968680089485E-2</v>
      </c>
      <c r="O27" s="1">
        <f>AuditData[[#This Row],[Total Revenue Impact (mln USD)]]/AuditData[[#This Row],[Fraud Cases Detected]]</f>
        <v>3.9614814814814814</v>
      </c>
      <c r="P27" s="2">
        <f>AuditData[[#This Row],[Fraud Cases Detected]]/AuditData[[#This Row],[Total Audit Engagements]]</f>
        <v>1.2080536912751677E-2</v>
      </c>
      <c r="Q27" s="2">
        <f>IF(AuditData[[#This Row],[AI Used for Auditing]]="Yes",1,0)</f>
        <v>1</v>
      </c>
      <c r="R27" s="2" t="str">
        <f>IF(AuditData[[#This Row],[Audit Effectiveness Score]]&lt;=6.5,"Low (5-6,5)",IF(AuditData[[#This Row],[Audit Effectiveness Score]]&lt;=8,"Medium (6,5-8)","High (8-10)"))</f>
        <v>Low (5-6,5)</v>
      </c>
      <c r="S27" s="2" t="str">
        <f>IF(AuditData[[#This Row],[Client Satisfaction Score]]&lt;=6.5,"Low (5-6,5)",IF(AuditData[[#This Row],[Client Satisfaction Score]]&lt;=8,"Medium (6,5-8)","High (8-10)"))</f>
        <v>Low (5-6,5)</v>
      </c>
    </row>
    <row r="28" spans="1:19" x14ac:dyDescent="0.3">
      <c r="A28">
        <v>2020</v>
      </c>
      <c r="B28" t="s">
        <v>9</v>
      </c>
      <c r="C28">
        <v>2515</v>
      </c>
      <c r="D28">
        <v>362</v>
      </c>
      <c r="E28">
        <v>146</v>
      </c>
      <c r="F28">
        <v>94</v>
      </c>
      <c r="G28" t="s">
        <v>7</v>
      </c>
      <c r="H28" s="1">
        <v>447.14</v>
      </c>
      <c r="I28" t="s">
        <v>2</v>
      </c>
      <c r="J28">
        <v>63</v>
      </c>
      <c r="K28">
        <v>5.8</v>
      </c>
      <c r="L28">
        <v>5</v>
      </c>
      <c r="M28" s="2">
        <f>AuditData[[#This Row],[High Risk Cases]]/AuditData[[#This Row],[Total Audit Engagements]]</f>
        <v>0.14393638170974155</v>
      </c>
      <c r="N28" s="2">
        <f>AuditData[[#This Row],[Compliance Violations]]/AuditData[[#This Row],[Total Audit Engagements]]</f>
        <v>5.805168986083499E-2</v>
      </c>
      <c r="O28" s="1">
        <f>AuditData[[#This Row],[Total Revenue Impact (mln USD)]]/AuditData[[#This Row],[Fraud Cases Detected]]</f>
        <v>4.7568085106382973</v>
      </c>
      <c r="P28" s="2">
        <f>AuditData[[#This Row],[Fraud Cases Detected]]/AuditData[[#This Row],[Total Audit Engagements]]</f>
        <v>3.7375745526838963E-2</v>
      </c>
      <c r="Q28" s="2">
        <f>IF(AuditData[[#This Row],[AI Used for Auditing]]="Yes",1,0)</f>
        <v>0</v>
      </c>
      <c r="R28" s="2" t="str">
        <f>IF(AuditData[[#This Row],[Audit Effectiveness Score]]&lt;=6.5,"Low (5-6,5)",IF(AuditData[[#This Row],[Audit Effectiveness Score]]&lt;=8,"Medium (6,5-8)","High (8-10)"))</f>
        <v>Low (5-6,5)</v>
      </c>
      <c r="S28" s="2" t="str">
        <f>IF(AuditData[[#This Row],[Client Satisfaction Score]]&lt;=6.5,"Low (5-6,5)",IF(AuditData[[#This Row],[Client Satisfaction Score]]&lt;=8,"Medium (6,5-8)","High (8-10)"))</f>
        <v>Low (5-6,5)</v>
      </c>
    </row>
    <row r="29" spans="1:19" x14ac:dyDescent="0.3">
      <c r="A29">
        <v>2025</v>
      </c>
      <c r="B29" t="s">
        <v>9</v>
      </c>
      <c r="C29">
        <v>3852</v>
      </c>
      <c r="D29">
        <v>317</v>
      </c>
      <c r="E29">
        <v>65</v>
      </c>
      <c r="F29">
        <v>12</v>
      </c>
      <c r="G29" t="s">
        <v>6</v>
      </c>
      <c r="H29" s="1">
        <v>294.38</v>
      </c>
      <c r="I29" t="s">
        <v>2</v>
      </c>
      <c r="J29">
        <v>78</v>
      </c>
      <c r="K29">
        <v>6.2</v>
      </c>
      <c r="L29">
        <v>7.3</v>
      </c>
      <c r="M29" s="2">
        <f>AuditData[[#This Row],[High Risk Cases]]/AuditData[[#This Row],[Total Audit Engagements]]</f>
        <v>8.2294911734164075E-2</v>
      </c>
      <c r="N29" s="2">
        <f>AuditData[[#This Row],[Compliance Violations]]/AuditData[[#This Row],[Total Audit Engagements]]</f>
        <v>1.687435098650052E-2</v>
      </c>
      <c r="O29" s="1">
        <f>AuditData[[#This Row],[Total Revenue Impact (mln USD)]]/AuditData[[#This Row],[Fraud Cases Detected]]</f>
        <v>24.531666666666666</v>
      </c>
      <c r="P29" s="2">
        <f>AuditData[[#This Row],[Fraud Cases Detected]]/AuditData[[#This Row],[Total Audit Engagements]]</f>
        <v>3.1152647975077881E-3</v>
      </c>
      <c r="Q29" s="2">
        <f>IF(AuditData[[#This Row],[AI Used for Auditing]]="Yes",1,0)</f>
        <v>0</v>
      </c>
      <c r="R29" s="2" t="str">
        <f>IF(AuditData[[#This Row],[Audit Effectiveness Score]]&lt;=6.5,"Low (5-6,5)",IF(AuditData[[#This Row],[Audit Effectiveness Score]]&lt;=8,"Medium (6,5-8)","High (8-10)"))</f>
        <v>Low (5-6,5)</v>
      </c>
      <c r="S29" s="2" t="str">
        <f>IF(AuditData[[#This Row],[Client Satisfaction Score]]&lt;=6.5,"Low (5-6,5)",IF(AuditData[[#This Row],[Client Satisfaction Score]]&lt;=8,"Medium (6,5-8)","High (8-10)"))</f>
        <v>Medium (6,5-8)</v>
      </c>
    </row>
    <row r="30" spans="1:19" x14ac:dyDescent="0.3">
      <c r="A30">
        <v>2025</v>
      </c>
      <c r="B30" t="s">
        <v>8</v>
      </c>
      <c r="C30">
        <v>4773</v>
      </c>
      <c r="D30">
        <v>497</v>
      </c>
      <c r="E30">
        <v>186</v>
      </c>
      <c r="F30">
        <v>56</v>
      </c>
      <c r="G30" t="s">
        <v>5</v>
      </c>
      <c r="H30" s="1">
        <v>197.87</v>
      </c>
      <c r="I30" t="s">
        <v>4</v>
      </c>
      <c r="J30">
        <v>44</v>
      </c>
      <c r="K30">
        <v>9.4</v>
      </c>
      <c r="L30">
        <v>6.1</v>
      </c>
      <c r="M30" s="2">
        <f>AuditData[[#This Row],[High Risk Cases]]/AuditData[[#This Row],[Total Audit Engagements]]</f>
        <v>0.10412738319715063</v>
      </c>
      <c r="N30" s="2">
        <f>AuditData[[#This Row],[Compliance Violations]]/AuditData[[#This Row],[Total Audit Engagements]]</f>
        <v>3.8969201759899437E-2</v>
      </c>
      <c r="O30" s="1">
        <f>AuditData[[#This Row],[Total Revenue Impact (mln USD)]]/AuditData[[#This Row],[Fraud Cases Detected]]</f>
        <v>3.5333928571428572</v>
      </c>
      <c r="P30" s="2">
        <f>AuditData[[#This Row],[Fraud Cases Detected]]/AuditData[[#This Row],[Total Audit Engagements]]</f>
        <v>1.1732662895453593E-2</v>
      </c>
      <c r="Q30" s="2">
        <f>IF(AuditData[[#This Row],[AI Used for Auditing]]="Yes",1,0)</f>
        <v>1</v>
      </c>
      <c r="R30" s="2" t="str">
        <f>IF(AuditData[[#This Row],[Audit Effectiveness Score]]&lt;=6.5,"Low (5-6,5)",IF(AuditData[[#This Row],[Audit Effectiveness Score]]&lt;=8,"Medium (6,5-8)","High (8-10)"))</f>
        <v>High (8-10)</v>
      </c>
      <c r="S30" s="2" t="str">
        <f>IF(AuditData[[#This Row],[Client Satisfaction Score]]&lt;=6.5,"Low (5-6,5)",IF(AuditData[[#This Row],[Client Satisfaction Score]]&lt;=8,"Medium (6,5-8)","High (8-10)"))</f>
        <v>Low (5-6,5)</v>
      </c>
    </row>
    <row r="31" spans="1:19" x14ac:dyDescent="0.3">
      <c r="A31">
        <v>2025</v>
      </c>
      <c r="B31" t="s">
        <v>8</v>
      </c>
      <c r="C31">
        <v>3571</v>
      </c>
      <c r="D31">
        <v>86</v>
      </c>
      <c r="E31">
        <v>181</v>
      </c>
      <c r="F31">
        <v>90</v>
      </c>
      <c r="G31" t="s">
        <v>6</v>
      </c>
      <c r="H31" s="1">
        <v>474.21</v>
      </c>
      <c r="I31" t="s">
        <v>2</v>
      </c>
      <c r="J31">
        <v>58</v>
      </c>
      <c r="K31">
        <v>7.4</v>
      </c>
      <c r="L31">
        <v>7.6</v>
      </c>
      <c r="M31" s="2">
        <f>AuditData[[#This Row],[High Risk Cases]]/AuditData[[#This Row],[Total Audit Engagements]]</f>
        <v>2.4082889946793615E-2</v>
      </c>
      <c r="N31" s="2">
        <f>AuditData[[#This Row],[Compliance Violations]]/AuditData[[#This Row],[Total Audit Engagements]]</f>
        <v>5.0686082329879582E-2</v>
      </c>
      <c r="O31" s="1">
        <f>AuditData[[#This Row],[Total Revenue Impact (mln USD)]]/AuditData[[#This Row],[Fraud Cases Detected]]</f>
        <v>5.2690000000000001</v>
      </c>
      <c r="P31" s="2">
        <f>AuditData[[#This Row],[Fraud Cases Detected]]/AuditData[[#This Row],[Total Audit Engagements]]</f>
        <v>2.520302436292355E-2</v>
      </c>
      <c r="Q31" s="2">
        <f>IF(AuditData[[#This Row],[AI Used for Auditing]]="Yes",1,0)</f>
        <v>0</v>
      </c>
      <c r="R31" s="2" t="str">
        <f>IF(AuditData[[#This Row],[Audit Effectiveness Score]]&lt;=6.5,"Low (5-6,5)",IF(AuditData[[#This Row],[Audit Effectiveness Score]]&lt;=8,"Medium (6,5-8)","High (8-10)"))</f>
        <v>Medium (6,5-8)</v>
      </c>
      <c r="S31" s="2" t="str">
        <f>IF(AuditData[[#This Row],[Client Satisfaction Score]]&lt;=6.5,"Low (5-6,5)",IF(AuditData[[#This Row],[Client Satisfaction Score]]&lt;=8,"Medium (6,5-8)","High (8-10)"))</f>
        <v>Medium (6,5-8)</v>
      </c>
    </row>
    <row r="32" spans="1:19" x14ac:dyDescent="0.3">
      <c r="A32">
        <v>2020</v>
      </c>
      <c r="B32" t="s">
        <v>3</v>
      </c>
      <c r="C32">
        <v>2030</v>
      </c>
      <c r="D32">
        <v>200</v>
      </c>
      <c r="E32">
        <v>169</v>
      </c>
      <c r="F32">
        <v>18</v>
      </c>
      <c r="G32" t="s">
        <v>1</v>
      </c>
      <c r="H32" s="1">
        <v>104.98</v>
      </c>
      <c r="I32" t="s">
        <v>2</v>
      </c>
      <c r="J32">
        <v>76</v>
      </c>
      <c r="K32">
        <v>5.2</v>
      </c>
      <c r="L32">
        <v>9.3000000000000007</v>
      </c>
      <c r="M32" s="2">
        <f>AuditData[[#This Row],[High Risk Cases]]/AuditData[[#This Row],[Total Audit Engagements]]</f>
        <v>9.8522167487684734E-2</v>
      </c>
      <c r="N32" s="2">
        <f>AuditData[[#This Row],[Compliance Violations]]/AuditData[[#This Row],[Total Audit Engagements]]</f>
        <v>8.32512315270936E-2</v>
      </c>
      <c r="O32" s="1">
        <f>AuditData[[#This Row],[Total Revenue Impact (mln USD)]]/AuditData[[#This Row],[Fraud Cases Detected]]</f>
        <v>5.8322222222222226</v>
      </c>
      <c r="P32" s="2">
        <f>AuditData[[#This Row],[Fraud Cases Detected]]/AuditData[[#This Row],[Total Audit Engagements]]</f>
        <v>8.8669950738916262E-3</v>
      </c>
      <c r="Q32" s="2">
        <f>IF(AuditData[[#This Row],[AI Used for Auditing]]="Yes",1,0)</f>
        <v>0</v>
      </c>
      <c r="R32" s="2" t="str">
        <f>IF(AuditData[[#This Row],[Audit Effectiveness Score]]&lt;=6.5,"Low (5-6,5)",IF(AuditData[[#This Row],[Audit Effectiveness Score]]&lt;=8,"Medium (6,5-8)","High (8-10)"))</f>
        <v>Low (5-6,5)</v>
      </c>
      <c r="S32" s="2" t="str">
        <f>IF(AuditData[[#This Row],[Client Satisfaction Score]]&lt;=6.5,"Low (5-6,5)",IF(AuditData[[#This Row],[Client Satisfaction Score]]&lt;=8,"Medium (6,5-8)","High (8-10)"))</f>
        <v>High (8-10)</v>
      </c>
    </row>
    <row r="33" spans="1:19" x14ac:dyDescent="0.3">
      <c r="A33">
        <v>2020</v>
      </c>
      <c r="B33" t="s">
        <v>8</v>
      </c>
      <c r="C33">
        <v>811</v>
      </c>
      <c r="D33">
        <v>398</v>
      </c>
      <c r="E33">
        <v>94</v>
      </c>
      <c r="F33">
        <v>94</v>
      </c>
      <c r="G33" t="s">
        <v>1</v>
      </c>
      <c r="H33" s="1">
        <v>438.45</v>
      </c>
      <c r="I33" t="s">
        <v>4</v>
      </c>
      <c r="J33">
        <v>66</v>
      </c>
      <c r="K33">
        <v>7.2</v>
      </c>
      <c r="L33">
        <v>9.6</v>
      </c>
      <c r="M33" s="2">
        <f>AuditData[[#This Row],[High Risk Cases]]/AuditData[[#This Row],[Total Audit Engagements]]</f>
        <v>0.49075215782983972</v>
      </c>
      <c r="N33" s="2">
        <f>AuditData[[#This Row],[Compliance Violations]]/AuditData[[#This Row],[Total Audit Engagements]]</f>
        <v>0.11590628853267571</v>
      </c>
      <c r="O33" s="1">
        <f>AuditData[[#This Row],[Total Revenue Impact (mln USD)]]/AuditData[[#This Row],[Fraud Cases Detected]]</f>
        <v>4.6643617021276595</v>
      </c>
      <c r="P33" s="2">
        <f>AuditData[[#This Row],[Fraud Cases Detected]]/AuditData[[#This Row],[Total Audit Engagements]]</f>
        <v>0.11590628853267571</v>
      </c>
      <c r="Q33" s="2">
        <f>IF(AuditData[[#This Row],[AI Used for Auditing]]="Yes",1,0)</f>
        <v>1</v>
      </c>
      <c r="R33" s="2" t="str">
        <f>IF(AuditData[[#This Row],[Audit Effectiveness Score]]&lt;=6.5,"Low (5-6,5)",IF(AuditData[[#This Row],[Audit Effectiveness Score]]&lt;=8,"Medium (6,5-8)","High (8-10)"))</f>
        <v>Medium (6,5-8)</v>
      </c>
      <c r="S33" s="2" t="str">
        <f>IF(AuditData[[#This Row],[Client Satisfaction Score]]&lt;=6.5,"Low (5-6,5)",IF(AuditData[[#This Row],[Client Satisfaction Score]]&lt;=8,"Medium (6,5-8)","High (8-10)"))</f>
        <v>High (8-10)</v>
      </c>
    </row>
    <row r="34" spans="1:19" x14ac:dyDescent="0.3">
      <c r="A34">
        <v>2023</v>
      </c>
      <c r="B34" t="s">
        <v>8</v>
      </c>
      <c r="C34">
        <v>1727</v>
      </c>
      <c r="D34">
        <v>59</v>
      </c>
      <c r="E34">
        <v>184</v>
      </c>
      <c r="F34">
        <v>20</v>
      </c>
      <c r="G34" t="s">
        <v>7</v>
      </c>
      <c r="H34" s="1">
        <v>249.68</v>
      </c>
      <c r="I34" t="s">
        <v>2</v>
      </c>
      <c r="J34">
        <v>50</v>
      </c>
      <c r="K34">
        <v>6.9</v>
      </c>
      <c r="L34">
        <v>8.8000000000000007</v>
      </c>
      <c r="M34" s="2">
        <f>AuditData[[#This Row],[High Risk Cases]]/AuditData[[#This Row],[Total Audit Engagements]]</f>
        <v>3.4163288940359006E-2</v>
      </c>
      <c r="N34" s="2">
        <f>AuditData[[#This Row],[Compliance Violations]]/AuditData[[#This Row],[Total Audit Engagements]]</f>
        <v>0.10654313839027214</v>
      </c>
      <c r="O34" s="1">
        <f>AuditData[[#This Row],[Total Revenue Impact (mln USD)]]/AuditData[[#This Row],[Fraud Cases Detected]]</f>
        <v>12.484</v>
      </c>
      <c r="P34" s="2">
        <f>AuditData[[#This Row],[Fraud Cases Detected]]/AuditData[[#This Row],[Total Audit Engagements]]</f>
        <v>1.1580775911986103E-2</v>
      </c>
      <c r="Q34" s="2">
        <f>IF(AuditData[[#This Row],[AI Used for Auditing]]="Yes",1,0)</f>
        <v>0</v>
      </c>
      <c r="R34" s="2" t="str">
        <f>IF(AuditData[[#This Row],[Audit Effectiveness Score]]&lt;=6.5,"Low (5-6,5)",IF(AuditData[[#This Row],[Audit Effectiveness Score]]&lt;=8,"Medium (6,5-8)","High (8-10)"))</f>
        <v>Medium (6,5-8)</v>
      </c>
      <c r="S34" s="2" t="str">
        <f>IF(AuditData[[#This Row],[Client Satisfaction Score]]&lt;=6.5,"Low (5-6,5)",IF(AuditData[[#This Row],[Client Satisfaction Score]]&lt;=8,"Medium (6,5-8)","High (8-10)"))</f>
        <v>High (8-10)</v>
      </c>
    </row>
    <row r="35" spans="1:19" x14ac:dyDescent="0.3">
      <c r="A35">
        <v>2024</v>
      </c>
      <c r="B35" t="s">
        <v>8</v>
      </c>
      <c r="C35">
        <v>4481</v>
      </c>
      <c r="D35">
        <v>258</v>
      </c>
      <c r="E35">
        <v>136</v>
      </c>
      <c r="F35">
        <v>32</v>
      </c>
      <c r="G35" t="s">
        <v>7</v>
      </c>
      <c r="H35" s="1">
        <v>156.76</v>
      </c>
      <c r="I35" t="s">
        <v>2</v>
      </c>
      <c r="J35">
        <v>53</v>
      </c>
      <c r="K35">
        <v>8.9</v>
      </c>
      <c r="L35">
        <v>5.0999999999999996</v>
      </c>
      <c r="M35" s="2">
        <f>AuditData[[#This Row],[High Risk Cases]]/AuditData[[#This Row],[Total Audit Engagements]]</f>
        <v>5.757643383173399E-2</v>
      </c>
      <c r="N35" s="2">
        <f>AuditData[[#This Row],[Compliance Violations]]/AuditData[[#This Row],[Total Audit Engagements]]</f>
        <v>3.0350368221379157E-2</v>
      </c>
      <c r="O35" s="1">
        <f>AuditData[[#This Row],[Total Revenue Impact (mln USD)]]/AuditData[[#This Row],[Fraud Cases Detected]]</f>
        <v>4.8987499999999997</v>
      </c>
      <c r="P35" s="2">
        <f>AuditData[[#This Row],[Fraud Cases Detected]]/AuditData[[#This Row],[Total Audit Engagements]]</f>
        <v>7.1412631109127427E-3</v>
      </c>
      <c r="Q35" s="2">
        <f>IF(AuditData[[#This Row],[AI Used for Auditing]]="Yes",1,0)</f>
        <v>0</v>
      </c>
      <c r="R35" s="2" t="str">
        <f>IF(AuditData[[#This Row],[Audit Effectiveness Score]]&lt;=6.5,"Low (5-6,5)",IF(AuditData[[#This Row],[Audit Effectiveness Score]]&lt;=8,"Medium (6,5-8)","High (8-10)"))</f>
        <v>High (8-10)</v>
      </c>
      <c r="S35" s="2" t="str">
        <f>IF(AuditData[[#This Row],[Client Satisfaction Score]]&lt;=6.5,"Low (5-6,5)",IF(AuditData[[#This Row],[Client Satisfaction Score]]&lt;=8,"Medium (6,5-8)","High (8-10)"))</f>
        <v>Low (5-6,5)</v>
      </c>
    </row>
    <row r="36" spans="1:19" x14ac:dyDescent="0.3">
      <c r="A36">
        <v>2022</v>
      </c>
      <c r="B36" t="s">
        <v>3</v>
      </c>
      <c r="C36">
        <v>4287</v>
      </c>
      <c r="D36">
        <v>158</v>
      </c>
      <c r="E36">
        <v>73</v>
      </c>
      <c r="F36">
        <v>66</v>
      </c>
      <c r="G36" t="s">
        <v>1</v>
      </c>
      <c r="H36" s="1">
        <v>69.97</v>
      </c>
      <c r="I36" t="s">
        <v>2</v>
      </c>
      <c r="J36">
        <v>78</v>
      </c>
      <c r="K36">
        <v>8.3000000000000007</v>
      </c>
      <c r="L36">
        <v>6.5</v>
      </c>
      <c r="M36" s="2">
        <f>AuditData[[#This Row],[High Risk Cases]]/AuditData[[#This Row],[Total Audit Engagements]]</f>
        <v>3.6855609983671565E-2</v>
      </c>
      <c r="N36" s="2">
        <f>AuditData[[#This Row],[Compliance Violations]]/AuditData[[#This Row],[Total Audit Engagements]]</f>
        <v>1.7028224865873572E-2</v>
      </c>
      <c r="O36" s="1">
        <f>AuditData[[#This Row],[Total Revenue Impact (mln USD)]]/AuditData[[#This Row],[Fraud Cases Detected]]</f>
        <v>1.0601515151515151</v>
      </c>
      <c r="P36" s="2">
        <f>AuditData[[#This Row],[Fraud Cases Detected]]/AuditData[[#This Row],[Total Audit Engagements]]</f>
        <v>1.5395381385584325E-2</v>
      </c>
      <c r="Q36" s="2">
        <f>IF(AuditData[[#This Row],[AI Used for Auditing]]="Yes",1,0)</f>
        <v>0</v>
      </c>
      <c r="R36" s="2" t="str">
        <f>IF(AuditData[[#This Row],[Audit Effectiveness Score]]&lt;=6.5,"Low (5-6,5)",IF(AuditData[[#This Row],[Audit Effectiveness Score]]&lt;=8,"Medium (6,5-8)","High (8-10)"))</f>
        <v>High (8-10)</v>
      </c>
      <c r="S36" s="2" t="str">
        <f>IF(AuditData[[#This Row],[Client Satisfaction Score]]&lt;=6.5,"Low (5-6,5)",IF(AuditData[[#This Row],[Client Satisfaction Score]]&lt;=8,"Medium (6,5-8)","High (8-10)"))</f>
        <v>Low (5-6,5)</v>
      </c>
    </row>
    <row r="37" spans="1:19" x14ac:dyDescent="0.3">
      <c r="A37">
        <v>2021</v>
      </c>
      <c r="B37" t="s">
        <v>9</v>
      </c>
      <c r="C37">
        <v>3560</v>
      </c>
      <c r="D37">
        <v>302</v>
      </c>
      <c r="E37">
        <v>37</v>
      </c>
      <c r="F37">
        <v>42</v>
      </c>
      <c r="G37" t="s">
        <v>6</v>
      </c>
      <c r="H37" s="1">
        <v>94.56</v>
      </c>
      <c r="I37" t="s">
        <v>4</v>
      </c>
      <c r="J37">
        <v>50</v>
      </c>
      <c r="K37">
        <v>9.1999999999999993</v>
      </c>
      <c r="L37">
        <v>8.9</v>
      </c>
      <c r="M37" s="2">
        <f>AuditData[[#This Row],[High Risk Cases]]/AuditData[[#This Row],[Total Audit Engagements]]</f>
        <v>8.4831460674157297E-2</v>
      </c>
      <c r="N37" s="2">
        <f>AuditData[[#This Row],[Compliance Violations]]/AuditData[[#This Row],[Total Audit Engagements]]</f>
        <v>1.0393258426966293E-2</v>
      </c>
      <c r="O37" s="1">
        <f>AuditData[[#This Row],[Total Revenue Impact (mln USD)]]/AuditData[[#This Row],[Fraud Cases Detected]]</f>
        <v>2.2514285714285713</v>
      </c>
      <c r="P37" s="2">
        <f>AuditData[[#This Row],[Fraud Cases Detected]]/AuditData[[#This Row],[Total Audit Engagements]]</f>
        <v>1.1797752808988765E-2</v>
      </c>
      <c r="Q37" s="2">
        <f>IF(AuditData[[#This Row],[AI Used for Auditing]]="Yes",1,0)</f>
        <v>1</v>
      </c>
      <c r="R37" s="2" t="str">
        <f>IF(AuditData[[#This Row],[Audit Effectiveness Score]]&lt;=6.5,"Low (5-6,5)",IF(AuditData[[#This Row],[Audit Effectiveness Score]]&lt;=8,"Medium (6,5-8)","High (8-10)"))</f>
        <v>High (8-10)</v>
      </c>
      <c r="S37" s="2" t="str">
        <f>IF(AuditData[[#This Row],[Client Satisfaction Score]]&lt;=6.5,"Low (5-6,5)",IF(AuditData[[#This Row],[Client Satisfaction Score]]&lt;=8,"Medium (6,5-8)","High (8-10)"))</f>
        <v>High (8-10)</v>
      </c>
    </row>
    <row r="38" spans="1:19" x14ac:dyDescent="0.3">
      <c r="A38">
        <v>2023</v>
      </c>
      <c r="B38" t="s">
        <v>0</v>
      </c>
      <c r="C38">
        <v>3449</v>
      </c>
      <c r="D38">
        <v>102</v>
      </c>
      <c r="E38">
        <v>61</v>
      </c>
      <c r="F38">
        <v>42</v>
      </c>
      <c r="G38" t="s">
        <v>5</v>
      </c>
      <c r="H38" s="1">
        <v>33.46</v>
      </c>
      <c r="I38" t="s">
        <v>4</v>
      </c>
      <c r="J38">
        <v>77</v>
      </c>
      <c r="K38">
        <v>5.2</v>
      </c>
      <c r="L38">
        <v>9.1999999999999993</v>
      </c>
      <c r="M38" s="2">
        <f>AuditData[[#This Row],[High Risk Cases]]/AuditData[[#This Row],[Total Audit Engagements]]</f>
        <v>2.9573789504204116E-2</v>
      </c>
      <c r="N38" s="2">
        <f>AuditData[[#This Row],[Compliance Violations]]/AuditData[[#This Row],[Total Audit Engagements]]</f>
        <v>1.7686285879965208E-2</v>
      </c>
      <c r="O38" s="1">
        <f>AuditData[[#This Row],[Total Revenue Impact (mln USD)]]/AuditData[[#This Row],[Fraud Cases Detected]]</f>
        <v>0.79666666666666663</v>
      </c>
      <c r="P38" s="2">
        <f>AuditData[[#This Row],[Fraud Cases Detected]]/AuditData[[#This Row],[Total Audit Engagements]]</f>
        <v>1.2177442737025224E-2</v>
      </c>
      <c r="Q38" s="2">
        <f>IF(AuditData[[#This Row],[AI Used for Auditing]]="Yes",1,0)</f>
        <v>1</v>
      </c>
      <c r="R38" s="2" t="str">
        <f>IF(AuditData[[#This Row],[Audit Effectiveness Score]]&lt;=6.5,"Low (5-6,5)",IF(AuditData[[#This Row],[Audit Effectiveness Score]]&lt;=8,"Medium (6,5-8)","High (8-10)"))</f>
        <v>Low (5-6,5)</v>
      </c>
      <c r="S38" s="2" t="str">
        <f>IF(AuditData[[#This Row],[Client Satisfaction Score]]&lt;=6.5,"Low (5-6,5)",IF(AuditData[[#This Row],[Client Satisfaction Score]]&lt;=8,"Medium (6,5-8)","High (8-10)"))</f>
        <v>High (8-10)</v>
      </c>
    </row>
    <row r="39" spans="1:19" x14ac:dyDescent="0.3">
      <c r="A39">
        <v>2024</v>
      </c>
      <c r="B39" t="s">
        <v>3</v>
      </c>
      <c r="C39">
        <v>4324</v>
      </c>
      <c r="D39">
        <v>483</v>
      </c>
      <c r="E39">
        <v>166</v>
      </c>
      <c r="F39">
        <v>26</v>
      </c>
      <c r="G39" t="s">
        <v>1</v>
      </c>
      <c r="H39" s="1">
        <v>284.83999999999997</v>
      </c>
      <c r="I39" t="s">
        <v>2</v>
      </c>
      <c r="J39">
        <v>40</v>
      </c>
      <c r="K39">
        <v>8.8000000000000007</v>
      </c>
      <c r="L39">
        <v>6.2</v>
      </c>
      <c r="M39" s="2">
        <f>AuditData[[#This Row],[High Risk Cases]]/AuditData[[#This Row],[Total Audit Engagements]]</f>
        <v>0.11170212765957446</v>
      </c>
      <c r="N39" s="2">
        <f>AuditData[[#This Row],[Compliance Violations]]/AuditData[[#This Row],[Total Audit Engagements]]</f>
        <v>3.8390379278445887E-2</v>
      </c>
      <c r="O39" s="1">
        <f>AuditData[[#This Row],[Total Revenue Impact (mln USD)]]/AuditData[[#This Row],[Fraud Cases Detected]]</f>
        <v>10.955384615384615</v>
      </c>
      <c r="P39" s="2">
        <f>AuditData[[#This Row],[Fraud Cases Detected]]/AuditData[[#This Row],[Total Audit Engagements]]</f>
        <v>6.012950971322849E-3</v>
      </c>
      <c r="Q39" s="2">
        <f>IF(AuditData[[#This Row],[AI Used for Auditing]]="Yes",1,0)</f>
        <v>0</v>
      </c>
      <c r="R39" s="2" t="str">
        <f>IF(AuditData[[#This Row],[Audit Effectiveness Score]]&lt;=6.5,"Low (5-6,5)",IF(AuditData[[#This Row],[Audit Effectiveness Score]]&lt;=8,"Medium (6,5-8)","High (8-10)"))</f>
        <v>High (8-10)</v>
      </c>
      <c r="S39" s="2" t="str">
        <f>IF(AuditData[[#This Row],[Client Satisfaction Score]]&lt;=6.5,"Low (5-6,5)",IF(AuditData[[#This Row],[Client Satisfaction Score]]&lt;=8,"Medium (6,5-8)","High (8-10)"))</f>
        <v>Low (5-6,5)</v>
      </c>
    </row>
    <row r="40" spans="1:19" x14ac:dyDescent="0.3">
      <c r="A40">
        <v>2022</v>
      </c>
      <c r="B40" t="s">
        <v>8</v>
      </c>
      <c r="C40">
        <v>2245</v>
      </c>
      <c r="D40">
        <v>435</v>
      </c>
      <c r="E40">
        <v>42</v>
      </c>
      <c r="F40">
        <v>13</v>
      </c>
      <c r="G40" t="s">
        <v>6</v>
      </c>
      <c r="H40" s="1">
        <v>265.76</v>
      </c>
      <c r="I40" t="s">
        <v>4</v>
      </c>
      <c r="J40">
        <v>67</v>
      </c>
      <c r="K40">
        <v>7</v>
      </c>
      <c r="L40">
        <v>5.5</v>
      </c>
      <c r="M40" s="2">
        <f>AuditData[[#This Row],[High Risk Cases]]/AuditData[[#This Row],[Total Audit Engagements]]</f>
        <v>0.19376391982182628</v>
      </c>
      <c r="N40" s="2">
        <f>AuditData[[#This Row],[Compliance Violations]]/AuditData[[#This Row],[Total Audit Engagements]]</f>
        <v>1.8708240534521157E-2</v>
      </c>
      <c r="O40" s="1">
        <f>AuditData[[#This Row],[Total Revenue Impact (mln USD)]]/AuditData[[#This Row],[Fraud Cases Detected]]</f>
        <v>20.443076923076923</v>
      </c>
      <c r="P40" s="2">
        <f>AuditData[[#This Row],[Fraud Cases Detected]]/AuditData[[#This Row],[Total Audit Engagements]]</f>
        <v>5.7906458797327394E-3</v>
      </c>
      <c r="Q40" s="2">
        <f>IF(AuditData[[#This Row],[AI Used for Auditing]]="Yes",1,0)</f>
        <v>1</v>
      </c>
      <c r="R40" s="2" t="str">
        <f>IF(AuditData[[#This Row],[Audit Effectiveness Score]]&lt;=6.5,"Low (5-6,5)",IF(AuditData[[#This Row],[Audit Effectiveness Score]]&lt;=8,"Medium (6,5-8)","High (8-10)"))</f>
        <v>Medium (6,5-8)</v>
      </c>
      <c r="S40" s="2" t="str">
        <f>IF(AuditData[[#This Row],[Client Satisfaction Score]]&lt;=6.5,"Low (5-6,5)",IF(AuditData[[#This Row],[Client Satisfaction Score]]&lt;=8,"Medium (6,5-8)","High (8-10)"))</f>
        <v>Low (5-6,5)</v>
      </c>
    </row>
    <row r="41" spans="1:19" x14ac:dyDescent="0.3">
      <c r="A41">
        <v>2021</v>
      </c>
      <c r="B41" t="s">
        <v>3</v>
      </c>
      <c r="C41">
        <v>603</v>
      </c>
      <c r="D41">
        <v>62</v>
      </c>
      <c r="E41">
        <v>100</v>
      </c>
      <c r="F41">
        <v>20</v>
      </c>
      <c r="G41" t="s">
        <v>7</v>
      </c>
      <c r="H41" s="1">
        <v>415.3</v>
      </c>
      <c r="I41" t="s">
        <v>4</v>
      </c>
      <c r="J41">
        <v>60</v>
      </c>
      <c r="K41">
        <v>5.3</v>
      </c>
      <c r="L41">
        <v>8.5</v>
      </c>
      <c r="M41" s="2">
        <f>AuditData[[#This Row],[High Risk Cases]]/AuditData[[#This Row],[Total Audit Engagements]]</f>
        <v>0.10281923714759536</v>
      </c>
      <c r="N41" s="2">
        <f>AuditData[[#This Row],[Compliance Violations]]/AuditData[[#This Row],[Total Audit Engagements]]</f>
        <v>0.16583747927031509</v>
      </c>
      <c r="O41" s="1">
        <f>AuditData[[#This Row],[Total Revenue Impact (mln USD)]]/AuditData[[#This Row],[Fraud Cases Detected]]</f>
        <v>20.765000000000001</v>
      </c>
      <c r="P41" s="2">
        <f>AuditData[[#This Row],[Fraud Cases Detected]]/AuditData[[#This Row],[Total Audit Engagements]]</f>
        <v>3.316749585406302E-2</v>
      </c>
      <c r="Q41" s="2">
        <f>IF(AuditData[[#This Row],[AI Used for Auditing]]="Yes",1,0)</f>
        <v>1</v>
      </c>
      <c r="R41" s="2" t="str">
        <f>IF(AuditData[[#This Row],[Audit Effectiveness Score]]&lt;=6.5,"Low (5-6,5)",IF(AuditData[[#This Row],[Audit Effectiveness Score]]&lt;=8,"Medium (6,5-8)","High (8-10)"))</f>
        <v>Low (5-6,5)</v>
      </c>
      <c r="S41" s="2" t="str">
        <f>IF(AuditData[[#This Row],[Client Satisfaction Score]]&lt;=6.5,"Low (5-6,5)",IF(AuditData[[#This Row],[Client Satisfaction Score]]&lt;=8,"Medium (6,5-8)","High (8-10)"))</f>
        <v>High (8-10)</v>
      </c>
    </row>
    <row r="42" spans="1:19" x14ac:dyDescent="0.3">
      <c r="A42">
        <v>2020</v>
      </c>
      <c r="B42" t="s">
        <v>0</v>
      </c>
      <c r="C42">
        <v>3981</v>
      </c>
      <c r="D42">
        <v>199</v>
      </c>
      <c r="E42">
        <v>134</v>
      </c>
      <c r="F42">
        <v>63</v>
      </c>
      <c r="G42" t="s">
        <v>7</v>
      </c>
      <c r="H42" s="1">
        <v>52.64</v>
      </c>
      <c r="I42" t="s">
        <v>4</v>
      </c>
      <c r="J42">
        <v>63</v>
      </c>
      <c r="K42">
        <v>6.8</v>
      </c>
      <c r="L42">
        <v>8.9</v>
      </c>
      <c r="M42" s="2">
        <f>AuditData[[#This Row],[High Risk Cases]]/AuditData[[#This Row],[Total Audit Engagements]]</f>
        <v>4.998744034162271E-2</v>
      </c>
      <c r="N42" s="2">
        <f>AuditData[[#This Row],[Compliance Violations]]/AuditData[[#This Row],[Total Audit Engagements]]</f>
        <v>3.365988445114293E-2</v>
      </c>
      <c r="O42" s="1">
        <f>AuditData[[#This Row],[Total Revenue Impact (mln USD)]]/AuditData[[#This Row],[Fraud Cases Detected]]</f>
        <v>0.83555555555555561</v>
      </c>
      <c r="P42" s="2">
        <f>AuditData[[#This Row],[Fraud Cases Detected]]/AuditData[[#This Row],[Total Audit Engagements]]</f>
        <v>1.5825169555388093E-2</v>
      </c>
      <c r="Q42" s="2">
        <f>IF(AuditData[[#This Row],[AI Used for Auditing]]="Yes",1,0)</f>
        <v>1</v>
      </c>
      <c r="R42" s="2" t="str">
        <f>IF(AuditData[[#This Row],[Audit Effectiveness Score]]&lt;=6.5,"Low (5-6,5)",IF(AuditData[[#This Row],[Audit Effectiveness Score]]&lt;=8,"Medium (6,5-8)","High (8-10)"))</f>
        <v>Medium (6,5-8)</v>
      </c>
      <c r="S42" s="2" t="str">
        <f>IF(AuditData[[#This Row],[Client Satisfaction Score]]&lt;=6.5,"Low (5-6,5)",IF(AuditData[[#This Row],[Client Satisfaction Score]]&lt;=8,"Medium (6,5-8)","High (8-10)"))</f>
        <v>High (8-10)</v>
      </c>
    </row>
    <row r="43" spans="1:19" x14ac:dyDescent="0.3">
      <c r="A43">
        <v>2021</v>
      </c>
      <c r="B43" t="s">
        <v>8</v>
      </c>
      <c r="C43">
        <v>1119</v>
      </c>
      <c r="D43">
        <v>325</v>
      </c>
      <c r="E43">
        <v>53</v>
      </c>
      <c r="F43">
        <v>40</v>
      </c>
      <c r="G43" t="s">
        <v>7</v>
      </c>
      <c r="H43" s="1">
        <v>307.88</v>
      </c>
      <c r="I43" t="s">
        <v>4</v>
      </c>
      <c r="J43">
        <v>71</v>
      </c>
      <c r="K43">
        <v>7</v>
      </c>
      <c r="L43">
        <v>6.4</v>
      </c>
      <c r="M43" s="2">
        <f>AuditData[[#This Row],[High Risk Cases]]/AuditData[[#This Row],[Total Audit Engagements]]</f>
        <v>0.29043789097408401</v>
      </c>
      <c r="N43" s="2">
        <f>AuditData[[#This Row],[Compliance Violations]]/AuditData[[#This Row],[Total Audit Engagements]]</f>
        <v>4.736371760500447E-2</v>
      </c>
      <c r="O43" s="1">
        <f>AuditData[[#This Row],[Total Revenue Impact (mln USD)]]/AuditData[[#This Row],[Fraud Cases Detected]]</f>
        <v>7.6970000000000001</v>
      </c>
      <c r="P43" s="2">
        <f>AuditData[[#This Row],[Fraud Cases Detected]]/AuditData[[#This Row],[Total Audit Engagements]]</f>
        <v>3.5746201966041107E-2</v>
      </c>
      <c r="Q43" s="2">
        <f>IF(AuditData[[#This Row],[AI Used for Auditing]]="Yes",1,0)</f>
        <v>1</v>
      </c>
      <c r="R43" s="2" t="str">
        <f>IF(AuditData[[#This Row],[Audit Effectiveness Score]]&lt;=6.5,"Low (5-6,5)",IF(AuditData[[#This Row],[Audit Effectiveness Score]]&lt;=8,"Medium (6,5-8)","High (8-10)"))</f>
        <v>Medium (6,5-8)</v>
      </c>
      <c r="S43" s="2" t="str">
        <f>IF(AuditData[[#This Row],[Client Satisfaction Score]]&lt;=6.5,"Low (5-6,5)",IF(AuditData[[#This Row],[Client Satisfaction Score]]&lt;=8,"Medium (6,5-8)","High (8-10)"))</f>
        <v>Low (5-6,5)</v>
      </c>
    </row>
    <row r="44" spans="1:19" x14ac:dyDescent="0.3">
      <c r="A44">
        <v>2023</v>
      </c>
      <c r="B44" t="s">
        <v>9</v>
      </c>
      <c r="C44">
        <v>3076</v>
      </c>
      <c r="D44">
        <v>428</v>
      </c>
      <c r="E44">
        <v>138</v>
      </c>
      <c r="F44">
        <v>79</v>
      </c>
      <c r="G44" t="s">
        <v>6</v>
      </c>
      <c r="H44" s="1">
        <v>150.59</v>
      </c>
      <c r="I44" t="s">
        <v>2</v>
      </c>
      <c r="J44">
        <v>62</v>
      </c>
      <c r="K44">
        <v>8.8000000000000007</v>
      </c>
      <c r="L44">
        <v>7.3</v>
      </c>
      <c r="M44" s="2">
        <f>AuditData[[#This Row],[High Risk Cases]]/AuditData[[#This Row],[Total Audit Engagements]]</f>
        <v>0.13914174252275682</v>
      </c>
      <c r="N44" s="2">
        <f>AuditData[[#This Row],[Compliance Violations]]/AuditData[[#This Row],[Total Audit Engagements]]</f>
        <v>4.4863459037711315E-2</v>
      </c>
      <c r="O44" s="1">
        <f>AuditData[[#This Row],[Total Revenue Impact (mln USD)]]/AuditData[[#This Row],[Fraud Cases Detected]]</f>
        <v>1.9062025316455697</v>
      </c>
      <c r="P44" s="2">
        <f>AuditData[[#This Row],[Fraud Cases Detected]]/AuditData[[#This Row],[Total Audit Engagements]]</f>
        <v>2.5682704811443434E-2</v>
      </c>
      <c r="Q44" s="2">
        <f>IF(AuditData[[#This Row],[AI Used for Auditing]]="Yes",1,0)</f>
        <v>0</v>
      </c>
      <c r="R44" s="2" t="str">
        <f>IF(AuditData[[#This Row],[Audit Effectiveness Score]]&lt;=6.5,"Low (5-6,5)",IF(AuditData[[#This Row],[Audit Effectiveness Score]]&lt;=8,"Medium (6,5-8)","High (8-10)"))</f>
        <v>High (8-10)</v>
      </c>
      <c r="S44" s="2" t="str">
        <f>IF(AuditData[[#This Row],[Client Satisfaction Score]]&lt;=6.5,"Low (5-6,5)",IF(AuditData[[#This Row],[Client Satisfaction Score]]&lt;=8,"Medium (6,5-8)","High (8-10)"))</f>
        <v>Medium (6,5-8)</v>
      </c>
    </row>
    <row r="45" spans="1:19" x14ac:dyDescent="0.3">
      <c r="A45">
        <v>2024</v>
      </c>
      <c r="B45" t="s">
        <v>9</v>
      </c>
      <c r="C45">
        <v>3958</v>
      </c>
      <c r="D45">
        <v>442</v>
      </c>
      <c r="E45">
        <v>115</v>
      </c>
      <c r="F45">
        <v>94</v>
      </c>
      <c r="G45" t="s">
        <v>1</v>
      </c>
      <c r="H45" s="1">
        <v>468.13</v>
      </c>
      <c r="I45" t="s">
        <v>2</v>
      </c>
      <c r="J45">
        <v>63</v>
      </c>
      <c r="K45">
        <v>5.2</v>
      </c>
      <c r="L45">
        <v>5.2</v>
      </c>
      <c r="M45" s="2">
        <f>AuditData[[#This Row],[High Risk Cases]]/AuditData[[#This Row],[Total Audit Engagements]]</f>
        <v>0.11167256189994947</v>
      </c>
      <c r="N45" s="2">
        <f>AuditData[[#This Row],[Compliance Violations]]/AuditData[[#This Row],[Total Audit Engagements]]</f>
        <v>2.9055078322385044E-2</v>
      </c>
      <c r="O45" s="1">
        <f>AuditData[[#This Row],[Total Revenue Impact (mln USD)]]/AuditData[[#This Row],[Fraud Cases Detected]]</f>
        <v>4.9801063829787235</v>
      </c>
      <c r="P45" s="2">
        <f>AuditData[[#This Row],[Fraud Cases Detected]]/AuditData[[#This Row],[Total Audit Engagements]]</f>
        <v>2.3749368367862556E-2</v>
      </c>
      <c r="Q45" s="2">
        <f>IF(AuditData[[#This Row],[AI Used for Auditing]]="Yes",1,0)</f>
        <v>0</v>
      </c>
      <c r="R45" s="2" t="str">
        <f>IF(AuditData[[#This Row],[Audit Effectiveness Score]]&lt;=6.5,"Low (5-6,5)",IF(AuditData[[#This Row],[Audit Effectiveness Score]]&lt;=8,"Medium (6,5-8)","High (8-10)"))</f>
        <v>Low (5-6,5)</v>
      </c>
      <c r="S45" s="2" t="str">
        <f>IF(AuditData[[#This Row],[Client Satisfaction Score]]&lt;=6.5,"Low (5-6,5)",IF(AuditData[[#This Row],[Client Satisfaction Score]]&lt;=8,"Medium (6,5-8)","High (8-10)"))</f>
        <v>Low (5-6,5)</v>
      </c>
    </row>
    <row r="46" spans="1:19" x14ac:dyDescent="0.3">
      <c r="A46">
        <v>2022</v>
      </c>
      <c r="B46" t="s">
        <v>8</v>
      </c>
      <c r="C46">
        <v>1578</v>
      </c>
      <c r="D46">
        <v>122</v>
      </c>
      <c r="E46">
        <v>116</v>
      </c>
      <c r="F46">
        <v>48</v>
      </c>
      <c r="G46" t="s">
        <v>1</v>
      </c>
      <c r="H46" s="1">
        <v>172</v>
      </c>
      <c r="I46" t="s">
        <v>4</v>
      </c>
      <c r="J46">
        <v>61</v>
      </c>
      <c r="K46">
        <v>9.5</v>
      </c>
      <c r="L46">
        <v>7.6</v>
      </c>
      <c r="M46" s="2">
        <f>AuditData[[#This Row],[High Risk Cases]]/AuditData[[#This Row],[Total Audit Engagements]]</f>
        <v>7.731305449936629E-2</v>
      </c>
      <c r="N46" s="2">
        <f>AuditData[[#This Row],[Compliance Violations]]/AuditData[[#This Row],[Total Audit Engagements]]</f>
        <v>7.3510773130544993E-2</v>
      </c>
      <c r="O46" s="1">
        <f>AuditData[[#This Row],[Total Revenue Impact (mln USD)]]/AuditData[[#This Row],[Fraud Cases Detected]]</f>
        <v>3.5833333333333335</v>
      </c>
      <c r="P46" s="2">
        <f>AuditData[[#This Row],[Fraud Cases Detected]]/AuditData[[#This Row],[Total Audit Engagements]]</f>
        <v>3.0418250950570342E-2</v>
      </c>
      <c r="Q46" s="2">
        <f>IF(AuditData[[#This Row],[AI Used for Auditing]]="Yes",1,0)</f>
        <v>1</v>
      </c>
      <c r="R46" s="2" t="str">
        <f>IF(AuditData[[#This Row],[Audit Effectiveness Score]]&lt;=6.5,"Low (5-6,5)",IF(AuditData[[#This Row],[Audit Effectiveness Score]]&lt;=8,"Medium (6,5-8)","High (8-10)"))</f>
        <v>High (8-10)</v>
      </c>
      <c r="S46" s="2" t="str">
        <f>IF(AuditData[[#This Row],[Client Satisfaction Score]]&lt;=6.5,"Low (5-6,5)",IF(AuditData[[#This Row],[Client Satisfaction Score]]&lt;=8,"Medium (6,5-8)","High (8-10)"))</f>
        <v>Medium (6,5-8)</v>
      </c>
    </row>
    <row r="47" spans="1:19" x14ac:dyDescent="0.3">
      <c r="A47">
        <v>2020</v>
      </c>
      <c r="B47" t="s">
        <v>8</v>
      </c>
      <c r="C47">
        <v>4570</v>
      </c>
      <c r="D47">
        <v>284</v>
      </c>
      <c r="E47">
        <v>155</v>
      </c>
      <c r="F47">
        <v>6</v>
      </c>
      <c r="G47" t="s">
        <v>7</v>
      </c>
      <c r="H47" s="1">
        <v>389.37</v>
      </c>
      <c r="I47" t="s">
        <v>2</v>
      </c>
      <c r="J47">
        <v>52</v>
      </c>
      <c r="K47">
        <v>6.1</v>
      </c>
      <c r="L47">
        <v>6.1</v>
      </c>
      <c r="M47" s="2">
        <f>AuditData[[#This Row],[High Risk Cases]]/AuditData[[#This Row],[Total Audit Engagements]]</f>
        <v>6.2144420131291025E-2</v>
      </c>
      <c r="N47" s="2">
        <f>AuditData[[#This Row],[Compliance Violations]]/AuditData[[#This Row],[Total Audit Engagements]]</f>
        <v>3.3916849015317288E-2</v>
      </c>
      <c r="O47" s="1">
        <f>AuditData[[#This Row],[Total Revenue Impact (mln USD)]]/AuditData[[#This Row],[Fraud Cases Detected]]</f>
        <v>64.894999999999996</v>
      </c>
      <c r="P47" s="2">
        <f>AuditData[[#This Row],[Fraud Cases Detected]]/AuditData[[#This Row],[Total Audit Engagements]]</f>
        <v>1.312910284463895E-3</v>
      </c>
      <c r="Q47" s="2">
        <f>IF(AuditData[[#This Row],[AI Used for Auditing]]="Yes",1,0)</f>
        <v>0</v>
      </c>
      <c r="R47" s="2" t="str">
        <f>IF(AuditData[[#This Row],[Audit Effectiveness Score]]&lt;=6.5,"Low (5-6,5)",IF(AuditData[[#This Row],[Audit Effectiveness Score]]&lt;=8,"Medium (6,5-8)","High (8-10)"))</f>
        <v>Low (5-6,5)</v>
      </c>
      <c r="S47" s="2" t="str">
        <f>IF(AuditData[[#This Row],[Client Satisfaction Score]]&lt;=6.5,"Low (5-6,5)",IF(AuditData[[#This Row],[Client Satisfaction Score]]&lt;=8,"Medium (6,5-8)","High (8-10)"))</f>
        <v>Low (5-6,5)</v>
      </c>
    </row>
    <row r="48" spans="1:19" x14ac:dyDescent="0.3">
      <c r="A48">
        <v>2025</v>
      </c>
      <c r="B48" t="s">
        <v>3</v>
      </c>
      <c r="C48">
        <v>718</v>
      </c>
      <c r="D48">
        <v>360</v>
      </c>
      <c r="E48">
        <v>193</v>
      </c>
      <c r="F48">
        <v>14</v>
      </c>
      <c r="G48" t="s">
        <v>6</v>
      </c>
      <c r="H48" s="1">
        <v>432.8</v>
      </c>
      <c r="I48" t="s">
        <v>2</v>
      </c>
      <c r="J48">
        <v>64</v>
      </c>
      <c r="K48">
        <v>7.3</v>
      </c>
      <c r="L48">
        <v>8.9</v>
      </c>
      <c r="M48" s="2">
        <f>AuditData[[#This Row],[High Risk Cases]]/AuditData[[#This Row],[Total Audit Engagements]]</f>
        <v>0.50139275766016711</v>
      </c>
      <c r="N48" s="2">
        <f>AuditData[[#This Row],[Compliance Violations]]/AuditData[[#This Row],[Total Audit Engagements]]</f>
        <v>0.26880222841225626</v>
      </c>
      <c r="O48" s="1">
        <f>AuditData[[#This Row],[Total Revenue Impact (mln USD)]]/AuditData[[#This Row],[Fraud Cases Detected]]</f>
        <v>30.914285714285715</v>
      </c>
      <c r="P48" s="2">
        <f>AuditData[[#This Row],[Fraud Cases Detected]]/AuditData[[#This Row],[Total Audit Engagements]]</f>
        <v>1.9498607242339833E-2</v>
      </c>
      <c r="Q48" s="2">
        <f>IF(AuditData[[#This Row],[AI Used for Auditing]]="Yes",1,0)</f>
        <v>0</v>
      </c>
      <c r="R48" s="2" t="str">
        <f>IF(AuditData[[#This Row],[Audit Effectiveness Score]]&lt;=6.5,"Low (5-6,5)",IF(AuditData[[#This Row],[Audit Effectiveness Score]]&lt;=8,"Medium (6,5-8)","High (8-10)"))</f>
        <v>Medium (6,5-8)</v>
      </c>
      <c r="S48" s="2" t="str">
        <f>IF(AuditData[[#This Row],[Client Satisfaction Score]]&lt;=6.5,"Low (5-6,5)",IF(AuditData[[#This Row],[Client Satisfaction Score]]&lt;=8,"Medium (6,5-8)","High (8-10)"))</f>
        <v>High (8-10)</v>
      </c>
    </row>
    <row r="49" spans="1:19" x14ac:dyDescent="0.3">
      <c r="A49">
        <v>2021</v>
      </c>
      <c r="B49" t="s">
        <v>3</v>
      </c>
      <c r="C49">
        <v>4601</v>
      </c>
      <c r="D49">
        <v>65</v>
      </c>
      <c r="E49">
        <v>196</v>
      </c>
      <c r="F49">
        <v>28</v>
      </c>
      <c r="G49" t="s">
        <v>7</v>
      </c>
      <c r="H49" s="1">
        <v>320.75</v>
      </c>
      <c r="I49" t="s">
        <v>2</v>
      </c>
      <c r="J49">
        <v>75</v>
      </c>
      <c r="K49">
        <v>7.7</v>
      </c>
      <c r="L49">
        <v>5.7</v>
      </c>
      <c r="M49" s="2">
        <f>AuditData[[#This Row],[High Risk Cases]]/AuditData[[#This Row],[Total Audit Engagements]]</f>
        <v>1.4127363616605085E-2</v>
      </c>
      <c r="N49" s="2">
        <f>AuditData[[#This Row],[Compliance Violations]]/AuditData[[#This Row],[Total Audit Engagements]]</f>
        <v>4.2599434905455334E-2</v>
      </c>
      <c r="O49" s="1">
        <f>AuditData[[#This Row],[Total Revenue Impact (mln USD)]]/AuditData[[#This Row],[Fraud Cases Detected]]</f>
        <v>11.455357142857142</v>
      </c>
      <c r="P49" s="2">
        <f>AuditData[[#This Row],[Fraud Cases Detected]]/AuditData[[#This Row],[Total Audit Engagements]]</f>
        <v>6.0856335579221911E-3</v>
      </c>
      <c r="Q49" s="2">
        <f>IF(AuditData[[#This Row],[AI Used for Auditing]]="Yes",1,0)</f>
        <v>0</v>
      </c>
      <c r="R49" s="2" t="str">
        <f>IF(AuditData[[#This Row],[Audit Effectiveness Score]]&lt;=6.5,"Low (5-6,5)",IF(AuditData[[#This Row],[Audit Effectiveness Score]]&lt;=8,"Medium (6,5-8)","High (8-10)"))</f>
        <v>Medium (6,5-8)</v>
      </c>
      <c r="S49" s="2" t="str">
        <f>IF(AuditData[[#This Row],[Client Satisfaction Score]]&lt;=6.5,"Low (5-6,5)",IF(AuditData[[#This Row],[Client Satisfaction Score]]&lt;=8,"Medium (6,5-8)","High (8-10)"))</f>
        <v>Low (5-6,5)</v>
      </c>
    </row>
    <row r="50" spans="1:19" x14ac:dyDescent="0.3">
      <c r="A50">
        <v>2025</v>
      </c>
      <c r="B50" t="s">
        <v>0</v>
      </c>
      <c r="C50">
        <v>4775</v>
      </c>
      <c r="D50">
        <v>380</v>
      </c>
      <c r="E50">
        <v>139</v>
      </c>
      <c r="F50">
        <v>87</v>
      </c>
      <c r="G50" t="s">
        <v>5</v>
      </c>
      <c r="H50" s="1">
        <v>429.95</v>
      </c>
      <c r="I50" t="s">
        <v>4</v>
      </c>
      <c r="J50">
        <v>53</v>
      </c>
      <c r="K50">
        <v>8.8000000000000007</v>
      </c>
      <c r="L50">
        <v>5.8</v>
      </c>
      <c r="M50" s="2">
        <f>AuditData[[#This Row],[High Risk Cases]]/AuditData[[#This Row],[Total Audit Engagements]]</f>
        <v>7.9581151832460728E-2</v>
      </c>
      <c r="N50" s="2">
        <f>AuditData[[#This Row],[Compliance Violations]]/AuditData[[#This Row],[Total Audit Engagements]]</f>
        <v>2.9109947643979058E-2</v>
      </c>
      <c r="O50" s="1">
        <f>AuditData[[#This Row],[Total Revenue Impact (mln USD)]]/AuditData[[#This Row],[Fraud Cases Detected]]</f>
        <v>4.9419540229885053</v>
      </c>
      <c r="P50" s="2">
        <f>AuditData[[#This Row],[Fraud Cases Detected]]/AuditData[[#This Row],[Total Audit Engagements]]</f>
        <v>1.8219895287958116E-2</v>
      </c>
      <c r="Q50" s="2">
        <f>IF(AuditData[[#This Row],[AI Used for Auditing]]="Yes",1,0)</f>
        <v>1</v>
      </c>
      <c r="R50" s="2" t="str">
        <f>IF(AuditData[[#This Row],[Audit Effectiveness Score]]&lt;=6.5,"Low (5-6,5)",IF(AuditData[[#This Row],[Audit Effectiveness Score]]&lt;=8,"Medium (6,5-8)","High (8-10)"))</f>
        <v>High (8-10)</v>
      </c>
      <c r="S50" s="2" t="str">
        <f>IF(AuditData[[#This Row],[Client Satisfaction Score]]&lt;=6.5,"Low (5-6,5)",IF(AuditData[[#This Row],[Client Satisfaction Score]]&lt;=8,"Medium (6,5-8)","High (8-10)"))</f>
        <v>Low (5-6,5)</v>
      </c>
    </row>
    <row r="51" spans="1:19" x14ac:dyDescent="0.3">
      <c r="A51">
        <v>2022</v>
      </c>
      <c r="B51" t="s">
        <v>9</v>
      </c>
      <c r="C51">
        <v>4340</v>
      </c>
      <c r="D51">
        <v>208</v>
      </c>
      <c r="E51">
        <v>86</v>
      </c>
      <c r="F51">
        <v>70</v>
      </c>
      <c r="G51" t="s">
        <v>6</v>
      </c>
      <c r="H51" s="1">
        <v>178.86</v>
      </c>
      <c r="I51" t="s">
        <v>4</v>
      </c>
      <c r="J51">
        <v>57</v>
      </c>
      <c r="K51">
        <v>5.5</v>
      </c>
      <c r="L51">
        <v>7.6</v>
      </c>
      <c r="M51" s="2">
        <f>AuditData[[#This Row],[High Risk Cases]]/AuditData[[#This Row],[Total Audit Engagements]]</f>
        <v>4.7926267281105994E-2</v>
      </c>
      <c r="N51" s="2">
        <f>AuditData[[#This Row],[Compliance Violations]]/AuditData[[#This Row],[Total Audit Engagements]]</f>
        <v>1.9815668202764977E-2</v>
      </c>
      <c r="O51" s="1">
        <f>AuditData[[#This Row],[Total Revenue Impact (mln USD)]]/AuditData[[#This Row],[Fraud Cases Detected]]</f>
        <v>2.5551428571428572</v>
      </c>
      <c r="P51" s="2">
        <f>AuditData[[#This Row],[Fraud Cases Detected]]/AuditData[[#This Row],[Total Audit Engagements]]</f>
        <v>1.6129032258064516E-2</v>
      </c>
      <c r="Q51" s="2">
        <f>IF(AuditData[[#This Row],[AI Used for Auditing]]="Yes",1,0)</f>
        <v>1</v>
      </c>
      <c r="R51" s="2" t="str">
        <f>IF(AuditData[[#This Row],[Audit Effectiveness Score]]&lt;=6.5,"Low (5-6,5)",IF(AuditData[[#This Row],[Audit Effectiveness Score]]&lt;=8,"Medium (6,5-8)","High (8-10)"))</f>
        <v>Low (5-6,5)</v>
      </c>
      <c r="S51" s="2" t="str">
        <f>IF(AuditData[[#This Row],[Client Satisfaction Score]]&lt;=6.5,"Low (5-6,5)",IF(AuditData[[#This Row],[Client Satisfaction Score]]&lt;=8,"Medium (6,5-8)","High (8-10)"))</f>
        <v>Medium (6,5-8)</v>
      </c>
    </row>
    <row r="52" spans="1:19" x14ac:dyDescent="0.3">
      <c r="A52">
        <v>2021</v>
      </c>
      <c r="B52" t="s">
        <v>9</v>
      </c>
      <c r="C52">
        <v>4327</v>
      </c>
      <c r="D52">
        <v>312</v>
      </c>
      <c r="E52">
        <v>94</v>
      </c>
      <c r="F52">
        <v>86</v>
      </c>
      <c r="G52" t="s">
        <v>5</v>
      </c>
      <c r="H52" s="1">
        <v>444.51</v>
      </c>
      <c r="I52" t="s">
        <v>2</v>
      </c>
      <c r="J52">
        <v>66</v>
      </c>
      <c r="K52">
        <v>9.9</v>
      </c>
      <c r="L52">
        <v>9.6</v>
      </c>
      <c r="M52" s="2">
        <f>AuditData[[#This Row],[High Risk Cases]]/AuditData[[#This Row],[Total Audit Engagements]]</f>
        <v>7.2105384793159227E-2</v>
      </c>
      <c r="N52" s="2">
        <f>AuditData[[#This Row],[Compliance Violations]]/AuditData[[#This Row],[Total Audit Engagements]]</f>
        <v>2.1724058238964641E-2</v>
      </c>
      <c r="O52" s="1">
        <f>AuditData[[#This Row],[Total Revenue Impact (mln USD)]]/AuditData[[#This Row],[Fraud Cases Detected]]</f>
        <v>5.1687209302325581</v>
      </c>
      <c r="P52" s="2">
        <f>AuditData[[#This Row],[Fraud Cases Detected]]/AuditData[[#This Row],[Total Audit Engagements]]</f>
        <v>1.9875202218627225E-2</v>
      </c>
      <c r="Q52" s="2">
        <f>IF(AuditData[[#This Row],[AI Used for Auditing]]="Yes",1,0)</f>
        <v>0</v>
      </c>
      <c r="R52" s="2" t="str">
        <f>IF(AuditData[[#This Row],[Audit Effectiveness Score]]&lt;=6.5,"Low (5-6,5)",IF(AuditData[[#This Row],[Audit Effectiveness Score]]&lt;=8,"Medium (6,5-8)","High (8-10)"))</f>
        <v>High (8-10)</v>
      </c>
      <c r="S52" s="2" t="str">
        <f>IF(AuditData[[#This Row],[Client Satisfaction Score]]&lt;=6.5,"Low (5-6,5)",IF(AuditData[[#This Row],[Client Satisfaction Score]]&lt;=8,"Medium (6,5-8)","High (8-10)"))</f>
        <v>High (8-10)</v>
      </c>
    </row>
    <row r="53" spans="1:19" x14ac:dyDescent="0.3">
      <c r="A53">
        <v>2025</v>
      </c>
      <c r="B53" t="s">
        <v>3</v>
      </c>
      <c r="C53">
        <v>1695</v>
      </c>
      <c r="D53">
        <v>285</v>
      </c>
      <c r="E53">
        <v>137</v>
      </c>
      <c r="F53">
        <v>61</v>
      </c>
      <c r="G53" t="s">
        <v>7</v>
      </c>
      <c r="H53" s="1">
        <v>302.27999999999997</v>
      </c>
      <c r="I53" t="s">
        <v>4</v>
      </c>
      <c r="J53">
        <v>64</v>
      </c>
      <c r="K53">
        <v>9.1</v>
      </c>
      <c r="L53">
        <v>8.4</v>
      </c>
      <c r="M53" s="2">
        <f>AuditData[[#This Row],[High Risk Cases]]/AuditData[[#This Row],[Total Audit Engagements]]</f>
        <v>0.16814159292035399</v>
      </c>
      <c r="N53" s="2">
        <f>AuditData[[#This Row],[Compliance Violations]]/AuditData[[#This Row],[Total Audit Engagements]]</f>
        <v>8.0825958702064896E-2</v>
      </c>
      <c r="O53" s="1">
        <f>AuditData[[#This Row],[Total Revenue Impact (mln USD)]]/AuditData[[#This Row],[Fraud Cases Detected]]</f>
        <v>4.9554098360655736</v>
      </c>
      <c r="P53" s="2">
        <f>AuditData[[#This Row],[Fraud Cases Detected]]/AuditData[[#This Row],[Total Audit Engagements]]</f>
        <v>3.5988200589970501E-2</v>
      </c>
      <c r="Q53" s="2">
        <f>IF(AuditData[[#This Row],[AI Used for Auditing]]="Yes",1,0)</f>
        <v>1</v>
      </c>
      <c r="R53" s="2" t="str">
        <f>IF(AuditData[[#This Row],[Audit Effectiveness Score]]&lt;=6.5,"Low (5-6,5)",IF(AuditData[[#This Row],[Audit Effectiveness Score]]&lt;=8,"Medium (6,5-8)","High (8-10)"))</f>
        <v>High (8-10)</v>
      </c>
      <c r="S53" s="2" t="str">
        <f>IF(AuditData[[#This Row],[Client Satisfaction Score]]&lt;=6.5,"Low (5-6,5)",IF(AuditData[[#This Row],[Client Satisfaction Score]]&lt;=8,"Medium (6,5-8)","High (8-10)"))</f>
        <v>High (8-10)</v>
      </c>
    </row>
    <row r="54" spans="1:19" x14ac:dyDescent="0.3">
      <c r="A54">
        <v>2020</v>
      </c>
      <c r="B54" t="s">
        <v>3</v>
      </c>
      <c r="C54">
        <v>995</v>
      </c>
      <c r="D54">
        <v>354</v>
      </c>
      <c r="E54">
        <v>126</v>
      </c>
      <c r="F54">
        <v>25</v>
      </c>
      <c r="G54" t="s">
        <v>1</v>
      </c>
      <c r="H54" s="1">
        <v>160.31</v>
      </c>
      <c r="I54" t="s">
        <v>2</v>
      </c>
      <c r="J54">
        <v>68</v>
      </c>
      <c r="K54">
        <v>9.3000000000000007</v>
      </c>
      <c r="L54">
        <v>6.2</v>
      </c>
      <c r="M54" s="2">
        <f>AuditData[[#This Row],[High Risk Cases]]/AuditData[[#This Row],[Total Audit Engagements]]</f>
        <v>0.35577889447236183</v>
      </c>
      <c r="N54" s="2">
        <f>AuditData[[#This Row],[Compliance Violations]]/AuditData[[#This Row],[Total Audit Engagements]]</f>
        <v>0.12663316582914572</v>
      </c>
      <c r="O54" s="1">
        <f>AuditData[[#This Row],[Total Revenue Impact (mln USD)]]/AuditData[[#This Row],[Fraud Cases Detected]]</f>
        <v>6.4123999999999999</v>
      </c>
      <c r="P54" s="2">
        <f>AuditData[[#This Row],[Fraud Cases Detected]]/AuditData[[#This Row],[Total Audit Engagements]]</f>
        <v>2.5125628140703519E-2</v>
      </c>
      <c r="Q54" s="2">
        <f>IF(AuditData[[#This Row],[AI Used for Auditing]]="Yes",1,0)</f>
        <v>0</v>
      </c>
      <c r="R54" s="2" t="str">
        <f>IF(AuditData[[#This Row],[Audit Effectiveness Score]]&lt;=6.5,"Low (5-6,5)",IF(AuditData[[#This Row],[Audit Effectiveness Score]]&lt;=8,"Medium (6,5-8)","High (8-10)"))</f>
        <v>High (8-10)</v>
      </c>
      <c r="S54" s="2" t="str">
        <f>IF(AuditData[[#This Row],[Client Satisfaction Score]]&lt;=6.5,"Low (5-6,5)",IF(AuditData[[#This Row],[Client Satisfaction Score]]&lt;=8,"Medium (6,5-8)","High (8-10)"))</f>
        <v>Low (5-6,5)</v>
      </c>
    </row>
    <row r="55" spans="1:19" x14ac:dyDescent="0.3">
      <c r="A55">
        <v>2023</v>
      </c>
      <c r="B55" t="s">
        <v>8</v>
      </c>
      <c r="C55">
        <v>3101</v>
      </c>
      <c r="D55">
        <v>398</v>
      </c>
      <c r="E55">
        <v>149</v>
      </c>
      <c r="F55">
        <v>36</v>
      </c>
      <c r="G55" t="s">
        <v>1</v>
      </c>
      <c r="H55" s="1">
        <v>483.07</v>
      </c>
      <c r="I55" t="s">
        <v>2</v>
      </c>
      <c r="J55">
        <v>60</v>
      </c>
      <c r="K55">
        <v>9.5</v>
      </c>
      <c r="L55">
        <v>9.9</v>
      </c>
      <c r="M55" s="2">
        <f>AuditData[[#This Row],[High Risk Cases]]/AuditData[[#This Row],[Total Audit Engagements]]</f>
        <v>0.12834569493711706</v>
      </c>
      <c r="N55" s="2">
        <f>AuditData[[#This Row],[Compliance Violations]]/AuditData[[#This Row],[Total Audit Engagements]]</f>
        <v>4.8049016446307644E-2</v>
      </c>
      <c r="O55" s="1">
        <f>AuditData[[#This Row],[Total Revenue Impact (mln USD)]]/AuditData[[#This Row],[Fraud Cases Detected]]</f>
        <v>13.418611111111112</v>
      </c>
      <c r="P55" s="2">
        <f>AuditData[[#This Row],[Fraud Cases Detected]]/AuditData[[#This Row],[Total Audit Engagements]]</f>
        <v>1.1609158336020638E-2</v>
      </c>
      <c r="Q55" s="2">
        <f>IF(AuditData[[#This Row],[AI Used for Auditing]]="Yes",1,0)</f>
        <v>0</v>
      </c>
      <c r="R55" s="2" t="str">
        <f>IF(AuditData[[#This Row],[Audit Effectiveness Score]]&lt;=6.5,"Low (5-6,5)",IF(AuditData[[#This Row],[Audit Effectiveness Score]]&lt;=8,"Medium (6,5-8)","High (8-10)"))</f>
        <v>High (8-10)</v>
      </c>
      <c r="S55" s="2" t="str">
        <f>IF(AuditData[[#This Row],[Client Satisfaction Score]]&lt;=6.5,"Low (5-6,5)",IF(AuditData[[#This Row],[Client Satisfaction Score]]&lt;=8,"Medium (6,5-8)","High (8-10)"))</f>
        <v>High (8-10)</v>
      </c>
    </row>
    <row r="56" spans="1:19" x14ac:dyDescent="0.3">
      <c r="A56">
        <v>2021</v>
      </c>
      <c r="B56" t="s">
        <v>3</v>
      </c>
      <c r="C56">
        <v>1992</v>
      </c>
      <c r="D56">
        <v>313</v>
      </c>
      <c r="E56">
        <v>74</v>
      </c>
      <c r="F56">
        <v>93</v>
      </c>
      <c r="G56" t="s">
        <v>7</v>
      </c>
      <c r="H56" s="1">
        <v>110.06</v>
      </c>
      <c r="I56" t="s">
        <v>2</v>
      </c>
      <c r="J56">
        <v>61</v>
      </c>
      <c r="K56">
        <v>7.6</v>
      </c>
      <c r="L56">
        <v>7.5</v>
      </c>
      <c r="M56" s="2">
        <f>AuditData[[#This Row],[High Risk Cases]]/AuditData[[#This Row],[Total Audit Engagements]]</f>
        <v>0.15712851405622491</v>
      </c>
      <c r="N56" s="2">
        <f>AuditData[[#This Row],[Compliance Violations]]/AuditData[[#This Row],[Total Audit Engagements]]</f>
        <v>3.7148594377510037E-2</v>
      </c>
      <c r="O56" s="1">
        <f>AuditData[[#This Row],[Total Revenue Impact (mln USD)]]/AuditData[[#This Row],[Fraud Cases Detected]]</f>
        <v>1.1834408602150537</v>
      </c>
      <c r="P56" s="2">
        <f>AuditData[[#This Row],[Fraud Cases Detected]]/AuditData[[#This Row],[Total Audit Engagements]]</f>
        <v>4.6686746987951805E-2</v>
      </c>
      <c r="Q56" s="2">
        <f>IF(AuditData[[#This Row],[AI Used for Auditing]]="Yes",1,0)</f>
        <v>0</v>
      </c>
      <c r="R56" s="2" t="str">
        <f>IF(AuditData[[#This Row],[Audit Effectiveness Score]]&lt;=6.5,"Low (5-6,5)",IF(AuditData[[#This Row],[Audit Effectiveness Score]]&lt;=8,"Medium (6,5-8)","High (8-10)"))</f>
        <v>Medium (6,5-8)</v>
      </c>
      <c r="S56" s="2" t="str">
        <f>IF(AuditData[[#This Row],[Client Satisfaction Score]]&lt;=6.5,"Low (5-6,5)",IF(AuditData[[#This Row],[Client Satisfaction Score]]&lt;=8,"Medium (6,5-8)","High (8-10)"))</f>
        <v>Medium (6,5-8)</v>
      </c>
    </row>
    <row r="57" spans="1:19" x14ac:dyDescent="0.3">
      <c r="A57">
        <v>2025</v>
      </c>
      <c r="B57" t="s">
        <v>9</v>
      </c>
      <c r="C57">
        <v>2506</v>
      </c>
      <c r="D57">
        <v>330</v>
      </c>
      <c r="E57">
        <v>55</v>
      </c>
      <c r="F57">
        <v>94</v>
      </c>
      <c r="G57" t="s">
        <v>1</v>
      </c>
      <c r="H57" s="1">
        <v>250.74</v>
      </c>
      <c r="I57" t="s">
        <v>4</v>
      </c>
      <c r="J57">
        <v>40</v>
      </c>
      <c r="K57">
        <v>7.5</v>
      </c>
      <c r="L57">
        <v>9.6</v>
      </c>
      <c r="M57" s="2">
        <f>AuditData[[#This Row],[High Risk Cases]]/AuditData[[#This Row],[Total Audit Engagements]]</f>
        <v>0.13168395849960096</v>
      </c>
      <c r="N57" s="2">
        <f>AuditData[[#This Row],[Compliance Violations]]/AuditData[[#This Row],[Total Audit Engagements]]</f>
        <v>2.194732641660016E-2</v>
      </c>
      <c r="O57" s="1">
        <f>AuditData[[#This Row],[Total Revenue Impact (mln USD)]]/AuditData[[#This Row],[Fraud Cases Detected]]</f>
        <v>2.6674468085106384</v>
      </c>
      <c r="P57" s="2">
        <f>AuditData[[#This Row],[Fraud Cases Detected]]/AuditData[[#This Row],[Total Audit Engagements]]</f>
        <v>3.7509976057462091E-2</v>
      </c>
      <c r="Q57" s="2">
        <f>IF(AuditData[[#This Row],[AI Used for Auditing]]="Yes",1,0)</f>
        <v>1</v>
      </c>
      <c r="R57" s="2" t="str">
        <f>IF(AuditData[[#This Row],[Audit Effectiveness Score]]&lt;=6.5,"Low (5-6,5)",IF(AuditData[[#This Row],[Audit Effectiveness Score]]&lt;=8,"Medium (6,5-8)","High (8-10)"))</f>
        <v>Medium (6,5-8)</v>
      </c>
      <c r="S57" s="2" t="str">
        <f>IF(AuditData[[#This Row],[Client Satisfaction Score]]&lt;=6.5,"Low (5-6,5)",IF(AuditData[[#This Row],[Client Satisfaction Score]]&lt;=8,"Medium (6,5-8)","High (8-10)"))</f>
        <v>High (8-10)</v>
      </c>
    </row>
    <row r="58" spans="1:19" x14ac:dyDescent="0.3">
      <c r="A58">
        <v>2024</v>
      </c>
      <c r="B58" t="s">
        <v>8</v>
      </c>
      <c r="C58">
        <v>2556</v>
      </c>
      <c r="D58">
        <v>306</v>
      </c>
      <c r="E58">
        <v>45</v>
      </c>
      <c r="F58">
        <v>91</v>
      </c>
      <c r="G58" t="s">
        <v>5</v>
      </c>
      <c r="H58" s="1">
        <v>426.07</v>
      </c>
      <c r="I58" t="s">
        <v>2</v>
      </c>
      <c r="J58">
        <v>68</v>
      </c>
      <c r="K58">
        <v>5.3</v>
      </c>
      <c r="L58">
        <v>5.0999999999999996</v>
      </c>
      <c r="M58" s="2">
        <f>AuditData[[#This Row],[High Risk Cases]]/AuditData[[#This Row],[Total Audit Engagements]]</f>
        <v>0.11971830985915492</v>
      </c>
      <c r="N58" s="2">
        <f>AuditData[[#This Row],[Compliance Violations]]/AuditData[[#This Row],[Total Audit Engagements]]</f>
        <v>1.7605633802816902E-2</v>
      </c>
      <c r="O58" s="1">
        <f>AuditData[[#This Row],[Total Revenue Impact (mln USD)]]/AuditData[[#This Row],[Fraud Cases Detected]]</f>
        <v>4.682087912087912</v>
      </c>
      <c r="P58" s="2">
        <f>AuditData[[#This Row],[Fraud Cases Detected]]/AuditData[[#This Row],[Total Audit Engagements]]</f>
        <v>3.5602503912363068E-2</v>
      </c>
      <c r="Q58" s="2">
        <f>IF(AuditData[[#This Row],[AI Used for Auditing]]="Yes",1,0)</f>
        <v>0</v>
      </c>
      <c r="R58" s="2" t="str">
        <f>IF(AuditData[[#This Row],[Audit Effectiveness Score]]&lt;=6.5,"Low (5-6,5)",IF(AuditData[[#This Row],[Audit Effectiveness Score]]&lt;=8,"Medium (6,5-8)","High (8-10)"))</f>
        <v>Low (5-6,5)</v>
      </c>
      <c r="S58" s="2" t="str">
        <f>IF(AuditData[[#This Row],[Client Satisfaction Score]]&lt;=6.5,"Low (5-6,5)",IF(AuditData[[#This Row],[Client Satisfaction Score]]&lt;=8,"Medium (6,5-8)","High (8-10)"))</f>
        <v>Low (5-6,5)</v>
      </c>
    </row>
    <row r="59" spans="1:19" x14ac:dyDescent="0.3">
      <c r="A59">
        <v>2025</v>
      </c>
      <c r="B59" t="s">
        <v>3</v>
      </c>
      <c r="C59">
        <v>4390</v>
      </c>
      <c r="D59">
        <v>367</v>
      </c>
      <c r="E59">
        <v>167</v>
      </c>
      <c r="F59">
        <v>51</v>
      </c>
      <c r="G59" t="s">
        <v>7</v>
      </c>
      <c r="H59" s="1">
        <v>334.56</v>
      </c>
      <c r="I59" t="s">
        <v>4</v>
      </c>
      <c r="J59">
        <v>59</v>
      </c>
      <c r="K59">
        <v>7.8</v>
      </c>
      <c r="L59">
        <v>9.6</v>
      </c>
      <c r="M59" s="2">
        <f>AuditData[[#This Row],[High Risk Cases]]/AuditData[[#This Row],[Total Audit Engagements]]</f>
        <v>8.359908883826879E-2</v>
      </c>
      <c r="N59" s="2">
        <f>AuditData[[#This Row],[Compliance Violations]]/AuditData[[#This Row],[Total Audit Engagements]]</f>
        <v>3.8041002277904329E-2</v>
      </c>
      <c r="O59" s="1">
        <f>AuditData[[#This Row],[Total Revenue Impact (mln USD)]]/AuditData[[#This Row],[Fraud Cases Detected]]</f>
        <v>6.56</v>
      </c>
      <c r="P59" s="2">
        <f>AuditData[[#This Row],[Fraud Cases Detected]]/AuditData[[#This Row],[Total Audit Engagements]]</f>
        <v>1.1617312072892938E-2</v>
      </c>
      <c r="Q59" s="2">
        <f>IF(AuditData[[#This Row],[AI Used for Auditing]]="Yes",1,0)</f>
        <v>1</v>
      </c>
      <c r="R59" s="2" t="str">
        <f>IF(AuditData[[#This Row],[Audit Effectiveness Score]]&lt;=6.5,"Low (5-6,5)",IF(AuditData[[#This Row],[Audit Effectiveness Score]]&lt;=8,"Medium (6,5-8)","High (8-10)"))</f>
        <v>Medium (6,5-8)</v>
      </c>
      <c r="S59" s="2" t="str">
        <f>IF(AuditData[[#This Row],[Client Satisfaction Score]]&lt;=6.5,"Low (5-6,5)",IF(AuditData[[#This Row],[Client Satisfaction Score]]&lt;=8,"Medium (6,5-8)","High (8-10)"))</f>
        <v>High (8-10)</v>
      </c>
    </row>
    <row r="60" spans="1:19" x14ac:dyDescent="0.3">
      <c r="A60">
        <v>2020</v>
      </c>
      <c r="B60" t="s">
        <v>0</v>
      </c>
      <c r="C60">
        <v>4401</v>
      </c>
      <c r="D60">
        <v>249</v>
      </c>
      <c r="E60">
        <v>126</v>
      </c>
      <c r="F60">
        <v>45</v>
      </c>
      <c r="G60" t="s">
        <v>5</v>
      </c>
      <c r="H60" s="1">
        <v>424.03</v>
      </c>
      <c r="I60" t="s">
        <v>2</v>
      </c>
      <c r="J60">
        <v>60</v>
      </c>
      <c r="K60">
        <v>8.1999999999999993</v>
      </c>
      <c r="L60">
        <v>5.7</v>
      </c>
      <c r="M60" s="2">
        <f>AuditData[[#This Row],[High Risk Cases]]/AuditData[[#This Row],[Total Audit Engagements]]</f>
        <v>5.6578050443081118E-2</v>
      </c>
      <c r="N60" s="2">
        <f>AuditData[[#This Row],[Compliance Violations]]/AuditData[[#This Row],[Total Audit Engagements]]</f>
        <v>2.8629856850715747E-2</v>
      </c>
      <c r="O60" s="1">
        <f>AuditData[[#This Row],[Total Revenue Impact (mln USD)]]/AuditData[[#This Row],[Fraud Cases Detected]]</f>
        <v>9.4228888888888882</v>
      </c>
      <c r="P60" s="2">
        <f>AuditData[[#This Row],[Fraud Cases Detected]]/AuditData[[#This Row],[Total Audit Engagements]]</f>
        <v>1.0224948875255624E-2</v>
      </c>
      <c r="Q60" s="2">
        <f>IF(AuditData[[#This Row],[AI Used for Auditing]]="Yes",1,0)</f>
        <v>0</v>
      </c>
      <c r="R60" s="2" t="str">
        <f>IF(AuditData[[#This Row],[Audit Effectiveness Score]]&lt;=6.5,"Low (5-6,5)",IF(AuditData[[#This Row],[Audit Effectiveness Score]]&lt;=8,"Medium (6,5-8)","High (8-10)"))</f>
        <v>High (8-10)</v>
      </c>
      <c r="S60" s="2" t="str">
        <f>IF(AuditData[[#This Row],[Client Satisfaction Score]]&lt;=6.5,"Low (5-6,5)",IF(AuditData[[#This Row],[Client Satisfaction Score]]&lt;=8,"Medium (6,5-8)","High (8-10)"))</f>
        <v>Low (5-6,5)</v>
      </c>
    </row>
    <row r="61" spans="1:19" x14ac:dyDescent="0.3">
      <c r="A61">
        <v>2024</v>
      </c>
      <c r="B61" t="s">
        <v>3</v>
      </c>
      <c r="C61">
        <v>1275</v>
      </c>
      <c r="D61">
        <v>201</v>
      </c>
      <c r="E61">
        <v>20</v>
      </c>
      <c r="F61">
        <v>100</v>
      </c>
      <c r="G61" t="s">
        <v>6</v>
      </c>
      <c r="H61" s="1">
        <v>378.3</v>
      </c>
      <c r="I61" t="s">
        <v>2</v>
      </c>
      <c r="J61">
        <v>66</v>
      </c>
      <c r="K61">
        <v>8.5</v>
      </c>
      <c r="L61">
        <v>7.8</v>
      </c>
      <c r="M61" s="2">
        <f>AuditData[[#This Row],[High Risk Cases]]/AuditData[[#This Row],[Total Audit Engagements]]</f>
        <v>0.15764705882352942</v>
      </c>
      <c r="N61" s="2">
        <f>AuditData[[#This Row],[Compliance Violations]]/AuditData[[#This Row],[Total Audit Engagements]]</f>
        <v>1.5686274509803921E-2</v>
      </c>
      <c r="O61" s="1">
        <f>AuditData[[#This Row],[Total Revenue Impact (mln USD)]]/AuditData[[#This Row],[Fraud Cases Detected]]</f>
        <v>3.7829999999999999</v>
      </c>
      <c r="P61" s="2">
        <f>AuditData[[#This Row],[Fraud Cases Detected]]/AuditData[[#This Row],[Total Audit Engagements]]</f>
        <v>7.8431372549019607E-2</v>
      </c>
      <c r="Q61" s="2">
        <f>IF(AuditData[[#This Row],[AI Used for Auditing]]="Yes",1,0)</f>
        <v>0</v>
      </c>
      <c r="R61" s="2" t="str">
        <f>IF(AuditData[[#This Row],[Audit Effectiveness Score]]&lt;=6.5,"Low (5-6,5)",IF(AuditData[[#This Row],[Audit Effectiveness Score]]&lt;=8,"Medium (6,5-8)","High (8-10)"))</f>
        <v>High (8-10)</v>
      </c>
      <c r="S61" s="2" t="str">
        <f>IF(AuditData[[#This Row],[Client Satisfaction Score]]&lt;=6.5,"Low (5-6,5)",IF(AuditData[[#This Row],[Client Satisfaction Score]]&lt;=8,"Medium (6,5-8)","High (8-10)"))</f>
        <v>Medium (6,5-8)</v>
      </c>
    </row>
    <row r="62" spans="1:19" x14ac:dyDescent="0.3">
      <c r="A62">
        <v>2021</v>
      </c>
      <c r="B62" t="s">
        <v>9</v>
      </c>
      <c r="C62">
        <v>3630</v>
      </c>
      <c r="D62">
        <v>208</v>
      </c>
      <c r="E62">
        <v>92</v>
      </c>
      <c r="F62">
        <v>24</v>
      </c>
      <c r="G62" t="s">
        <v>6</v>
      </c>
      <c r="H62" s="1">
        <v>440.9</v>
      </c>
      <c r="I62" t="s">
        <v>4</v>
      </c>
      <c r="J62">
        <v>48</v>
      </c>
      <c r="K62">
        <v>5</v>
      </c>
      <c r="L62">
        <v>5.4</v>
      </c>
      <c r="M62" s="2">
        <f>AuditData[[#This Row],[High Risk Cases]]/AuditData[[#This Row],[Total Audit Engagements]]</f>
        <v>5.7300275482093661E-2</v>
      </c>
      <c r="N62" s="2">
        <f>AuditData[[#This Row],[Compliance Violations]]/AuditData[[#This Row],[Total Audit Engagements]]</f>
        <v>2.5344352617079891E-2</v>
      </c>
      <c r="O62" s="1">
        <f>AuditData[[#This Row],[Total Revenue Impact (mln USD)]]/AuditData[[#This Row],[Fraud Cases Detected]]</f>
        <v>18.370833333333334</v>
      </c>
      <c r="P62" s="2">
        <f>AuditData[[#This Row],[Fraud Cases Detected]]/AuditData[[#This Row],[Total Audit Engagements]]</f>
        <v>6.6115702479338841E-3</v>
      </c>
      <c r="Q62" s="2">
        <f>IF(AuditData[[#This Row],[AI Used for Auditing]]="Yes",1,0)</f>
        <v>1</v>
      </c>
      <c r="R62" s="2" t="str">
        <f>IF(AuditData[[#This Row],[Audit Effectiveness Score]]&lt;=6.5,"Low (5-6,5)",IF(AuditData[[#This Row],[Audit Effectiveness Score]]&lt;=8,"Medium (6,5-8)","High (8-10)"))</f>
        <v>Low (5-6,5)</v>
      </c>
      <c r="S62" s="2" t="str">
        <f>IF(AuditData[[#This Row],[Client Satisfaction Score]]&lt;=6.5,"Low (5-6,5)",IF(AuditData[[#This Row],[Client Satisfaction Score]]&lt;=8,"Medium (6,5-8)","High (8-10)"))</f>
        <v>Low (5-6,5)</v>
      </c>
    </row>
    <row r="63" spans="1:19" x14ac:dyDescent="0.3">
      <c r="A63">
        <v>2020</v>
      </c>
      <c r="B63" t="s">
        <v>9</v>
      </c>
      <c r="C63">
        <v>2654</v>
      </c>
      <c r="D63">
        <v>231</v>
      </c>
      <c r="E63">
        <v>185</v>
      </c>
      <c r="F63">
        <v>73</v>
      </c>
      <c r="G63" t="s">
        <v>6</v>
      </c>
      <c r="H63" s="1">
        <v>478</v>
      </c>
      <c r="I63" t="s">
        <v>4</v>
      </c>
      <c r="J63">
        <v>60</v>
      </c>
      <c r="K63">
        <v>9.1999999999999993</v>
      </c>
      <c r="L63">
        <v>7</v>
      </c>
      <c r="M63" s="2">
        <f>AuditData[[#This Row],[High Risk Cases]]/AuditData[[#This Row],[Total Audit Engagements]]</f>
        <v>8.7038432554634518E-2</v>
      </c>
      <c r="N63" s="2">
        <f>AuditData[[#This Row],[Compliance Violations]]/AuditData[[#This Row],[Total Audit Engagements]]</f>
        <v>6.9706103993971369E-2</v>
      </c>
      <c r="O63" s="1">
        <f>AuditData[[#This Row],[Total Revenue Impact (mln USD)]]/AuditData[[#This Row],[Fraud Cases Detected]]</f>
        <v>6.5479452054794525</v>
      </c>
      <c r="P63" s="2">
        <f>AuditData[[#This Row],[Fraud Cases Detected]]/AuditData[[#This Row],[Total Audit Engagements]]</f>
        <v>2.7505651846269782E-2</v>
      </c>
      <c r="Q63" s="2">
        <f>IF(AuditData[[#This Row],[AI Used for Auditing]]="Yes",1,0)</f>
        <v>1</v>
      </c>
      <c r="R63" s="2" t="str">
        <f>IF(AuditData[[#This Row],[Audit Effectiveness Score]]&lt;=6.5,"Low (5-6,5)",IF(AuditData[[#This Row],[Audit Effectiveness Score]]&lt;=8,"Medium (6,5-8)","High (8-10)"))</f>
        <v>High (8-10)</v>
      </c>
      <c r="S63" s="2" t="str">
        <f>IF(AuditData[[#This Row],[Client Satisfaction Score]]&lt;=6.5,"Low (5-6,5)",IF(AuditData[[#This Row],[Client Satisfaction Score]]&lt;=8,"Medium (6,5-8)","High (8-10)"))</f>
        <v>Medium (6,5-8)</v>
      </c>
    </row>
    <row r="64" spans="1:19" x14ac:dyDescent="0.3">
      <c r="A64">
        <v>2025</v>
      </c>
      <c r="B64" t="s">
        <v>8</v>
      </c>
      <c r="C64">
        <v>1810</v>
      </c>
      <c r="D64">
        <v>91</v>
      </c>
      <c r="E64">
        <v>151</v>
      </c>
      <c r="F64">
        <v>54</v>
      </c>
      <c r="G64" t="s">
        <v>6</v>
      </c>
      <c r="H64" s="1">
        <v>285.51</v>
      </c>
      <c r="I64" t="s">
        <v>2</v>
      </c>
      <c r="J64">
        <v>55</v>
      </c>
      <c r="K64">
        <v>5.9</v>
      </c>
      <c r="L64">
        <v>6.9</v>
      </c>
      <c r="M64" s="2">
        <f>AuditData[[#This Row],[High Risk Cases]]/AuditData[[#This Row],[Total Audit Engagements]]</f>
        <v>5.0276243093922653E-2</v>
      </c>
      <c r="N64" s="2">
        <f>AuditData[[#This Row],[Compliance Violations]]/AuditData[[#This Row],[Total Audit Engagements]]</f>
        <v>8.342541436464089E-2</v>
      </c>
      <c r="O64" s="1">
        <f>AuditData[[#This Row],[Total Revenue Impact (mln USD)]]/AuditData[[#This Row],[Fraud Cases Detected]]</f>
        <v>5.2872222222222218</v>
      </c>
      <c r="P64" s="2">
        <f>AuditData[[#This Row],[Fraud Cases Detected]]/AuditData[[#This Row],[Total Audit Engagements]]</f>
        <v>2.9834254143646408E-2</v>
      </c>
      <c r="Q64" s="2">
        <f>IF(AuditData[[#This Row],[AI Used for Auditing]]="Yes",1,0)</f>
        <v>0</v>
      </c>
      <c r="R64" s="2" t="str">
        <f>IF(AuditData[[#This Row],[Audit Effectiveness Score]]&lt;=6.5,"Low (5-6,5)",IF(AuditData[[#This Row],[Audit Effectiveness Score]]&lt;=8,"Medium (6,5-8)","High (8-10)"))</f>
        <v>Low (5-6,5)</v>
      </c>
      <c r="S64" s="2" t="str">
        <f>IF(AuditData[[#This Row],[Client Satisfaction Score]]&lt;=6.5,"Low (5-6,5)",IF(AuditData[[#This Row],[Client Satisfaction Score]]&lt;=8,"Medium (6,5-8)","High (8-10)"))</f>
        <v>Medium (6,5-8)</v>
      </c>
    </row>
    <row r="65" spans="1:19" x14ac:dyDescent="0.3">
      <c r="A65">
        <v>2025</v>
      </c>
      <c r="B65" t="s">
        <v>3</v>
      </c>
      <c r="C65">
        <v>2208</v>
      </c>
      <c r="D65">
        <v>296</v>
      </c>
      <c r="E65">
        <v>198</v>
      </c>
      <c r="F65">
        <v>72</v>
      </c>
      <c r="G65" t="s">
        <v>6</v>
      </c>
      <c r="H65" s="1">
        <v>395.59</v>
      </c>
      <c r="I65" t="s">
        <v>4</v>
      </c>
      <c r="J65">
        <v>77</v>
      </c>
      <c r="K65">
        <v>6</v>
      </c>
      <c r="L65">
        <v>6.7</v>
      </c>
      <c r="M65" s="2">
        <f>AuditData[[#This Row],[High Risk Cases]]/AuditData[[#This Row],[Total Audit Engagements]]</f>
        <v>0.13405797101449277</v>
      </c>
      <c r="N65" s="2">
        <f>AuditData[[#This Row],[Compliance Violations]]/AuditData[[#This Row],[Total Audit Engagements]]</f>
        <v>8.9673913043478257E-2</v>
      </c>
      <c r="O65" s="1">
        <f>AuditData[[#This Row],[Total Revenue Impact (mln USD)]]/AuditData[[#This Row],[Fraud Cases Detected]]</f>
        <v>5.4943055555555551</v>
      </c>
      <c r="P65" s="2">
        <f>AuditData[[#This Row],[Fraud Cases Detected]]/AuditData[[#This Row],[Total Audit Engagements]]</f>
        <v>3.2608695652173912E-2</v>
      </c>
      <c r="Q65" s="2">
        <f>IF(AuditData[[#This Row],[AI Used for Auditing]]="Yes",1,0)</f>
        <v>1</v>
      </c>
      <c r="R65" s="2" t="str">
        <f>IF(AuditData[[#This Row],[Audit Effectiveness Score]]&lt;=6.5,"Low (5-6,5)",IF(AuditData[[#This Row],[Audit Effectiveness Score]]&lt;=8,"Medium (6,5-8)","High (8-10)"))</f>
        <v>Low (5-6,5)</v>
      </c>
      <c r="S65" s="2" t="str">
        <f>IF(AuditData[[#This Row],[Client Satisfaction Score]]&lt;=6.5,"Low (5-6,5)",IF(AuditData[[#This Row],[Client Satisfaction Score]]&lt;=8,"Medium (6,5-8)","High (8-10)"))</f>
        <v>Medium (6,5-8)</v>
      </c>
    </row>
    <row r="66" spans="1:19" x14ac:dyDescent="0.3">
      <c r="A66">
        <v>2023</v>
      </c>
      <c r="B66" t="s">
        <v>9</v>
      </c>
      <c r="C66">
        <v>2133</v>
      </c>
      <c r="D66">
        <v>52</v>
      </c>
      <c r="E66">
        <v>141</v>
      </c>
      <c r="F66">
        <v>50</v>
      </c>
      <c r="G66" t="s">
        <v>6</v>
      </c>
      <c r="H66" s="1">
        <v>88.08</v>
      </c>
      <c r="I66" t="s">
        <v>2</v>
      </c>
      <c r="J66">
        <v>44</v>
      </c>
      <c r="K66">
        <v>9.8000000000000007</v>
      </c>
      <c r="L66">
        <v>5.8</v>
      </c>
      <c r="M66" s="2">
        <f>AuditData[[#This Row],[High Risk Cases]]/AuditData[[#This Row],[Total Audit Engagements]]</f>
        <v>2.4378809188935771E-2</v>
      </c>
      <c r="N66" s="2">
        <f>AuditData[[#This Row],[Compliance Violations]]/AuditData[[#This Row],[Total Audit Engagements]]</f>
        <v>6.6104078762306617E-2</v>
      </c>
      <c r="O66" s="1">
        <f>AuditData[[#This Row],[Total Revenue Impact (mln USD)]]/AuditData[[#This Row],[Fraud Cases Detected]]</f>
        <v>1.7616000000000001</v>
      </c>
      <c r="P66" s="2">
        <f>AuditData[[#This Row],[Fraud Cases Detected]]/AuditData[[#This Row],[Total Audit Engagements]]</f>
        <v>2.3441162681669011E-2</v>
      </c>
      <c r="Q66" s="2">
        <f>IF(AuditData[[#This Row],[AI Used for Auditing]]="Yes",1,0)</f>
        <v>0</v>
      </c>
      <c r="R66" s="2" t="str">
        <f>IF(AuditData[[#This Row],[Audit Effectiveness Score]]&lt;=6.5,"Low (5-6,5)",IF(AuditData[[#This Row],[Audit Effectiveness Score]]&lt;=8,"Medium (6,5-8)","High (8-10)"))</f>
        <v>High (8-10)</v>
      </c>
      <c r="S66" s="2" t="str">
        <f>IF(AuditData[[#This Row],[Client Satisfaction Score]]&lt;=6.5,"Low (5-6,5)",IF(AuditData[[#This Row],[Client Satisfaction Score]]&lt;=8,"Medium (6,5-8)","High (8-10)"))</f>
        <v>Low (5-6,5)</v>
      </c>
    </row>
    <row r="67" spans="1:19" x14ac:dyDescent="0.3">
      <c r="A67">
        <v>2024</v>
      </c>
      <c r="B67" t="s">
        <v>3</v>
      </c>
      <c r="C67">
        <v>2183</v>
      </c>
      <c r="D67">
        <v>449</v>
      </c>
      <c r="E67">
        <v>25</v>
      </c>
      <c r="F67">
        <v>27</v>
      </c>
      <c r="G67" t="s">
        <v>5</v>
      </c>
      <c r="H67" s="1">
        <v>263.14</v>
      </c>
      <c r="I67" t="s">
        <v>4</v>
      </c>
      <c r="J67">
        <v>48</v>
      </c>
      <c r="K67">
        <v>9</v>
      </c>
      <c r="L67">
        <v>8.3000000000000007</v>
      </c>
      <c r="M67" s="2">
        <f>AuditData[[#This Row],[High Risk Cases]]/AuditData[[#This Row],[Total Audit Engagements]]</f>
        <v>0.20568025652771416</v>
      </c>
      <c r="N67" s="2">
        <f>AuditData[[#This Row],[Compliance Violations]]/AuditData[[#This Row],[Total Audit Engagements]]</f>
        <v>1.1452130096197893E-2</v>
      </c>
      <c r="O67" s="1">
        <f>AuditData[[#This Row],[Total Revenue Impact (mln USD)]]/AuditData[[#This Row],[Fraud Cases Detected]]</f>
        <v>9.7459259259259259</v>
      </c>
      <c r="P67" s="2">
        <f>AuditData[[#This Row],[Fraud Cases Detected]]/AuditData[[#This Row],[Total Audit Engagements]]</f>
        <v>1.2368300503893724E-2</v>
      </c>
      <c r="Q67" s="2">
        <f>IF(AuditData[[#This Row],[AI Used for Auditing]]="Yes",1,0)</f>
        <v>1</v>
      </c>
      <c r="R67" s="2" t="str">
        <f>IF(AuditData[[#This Row],[Audit Effectiveness Score]]&lt;=6.5,"Low (5-6,5)",IF(AuditData[[#This Row],[Audit Effectiveness Score]]&lt;=8,"Medium (6,5-8)","High (8-10)"))</f>
        <v>High (8-10)</v>
      </c>
      <c r="S67" s="2" t="str">
        <f>IF(AuditData[[#This Row],[Client Satisfaction Score]]&lt;=6.5,"Low (5-6,5)",IF(AuditData[[#This Row],[Client Satisfaction Score]]&lt;=8,"Medium (6,5-8)","High (8-10)"))</f>
        <v>High (8-10)</v>
      </c>
    </row>
    <row r="68" spans="1:19" x14ac:dyDescent="0.3">
      <c r="A68">
        <v>2022</v>
      </c>
      <c r="B68" t="s">
        <v>9</v>
      </c>
      <c r="C68">
        <v>1924</v>
      </c>
      <c r="D68">
        <v>487</v>
      </c>
      <c r="E68">
        <v>141</v>
      </c>
      <c r="F68">
        <v>33</v>
      </c>
      <c r="G68" t="s">
        <v>6</v>
      </c>
      <c r="H68" s="1">
        <v>307.61</v>
      </c>
      <c r="I68" t="s">
        <v>2</v>
      </c>
      <c r="J68">
        <v>68</v>
      </c>
      <c r="K68">
        <v>7.3</v>
      </c>
      <c r="L68">
        <v>8.8000000000000007</v>
      </c>
      <c r="M68" s="2">
        <f>AuditData[[#This Row],[High Risk Cases]]/AuditData[[#This Row],[Total Audit Engagements]]</f>
        <v>0.25311850311850309</v>
      </c>
      <c r="N68" s="2">
        <f>AuditData[[#This Row],[Compliance Violations]]/AuditData[[#This Row],[Total Audit Engagements]]</f>
        <v>7.3284823284823289E-2</v>
      </c>
      <c r="O68" s="1">
        <f>AuditData[[#This Row],[Total Revenue Impact (mln USD)]]/AuditData[[#This Row],[Fraud Cases Detected]]</f>
        <v>9.3215151515151522</v>
      </c>
      <c r="P68" s="2">
        <f>AuditData[[#This Row],[Fraud Cases Detected]]/AuditData[[#This Row],[Total Audit Engagements]]</f>
        <v>1.7151767151767153E-2</v>
      </c>
      <c r="Q68" s="2">
        <f>IF(AuditData[[#This Row],[AI Used for Auditing]]="Yes",1,0)</f>
        <v>0</v>
      </c>
      <c r="R68" s="2" t="str">
        <f>IF(AuditData[[#This Row],[Audit Effectiveness Score]]&lt;=6.5,"Low (5-6,5)",IF(AuditData[[#This Row],[Audit Effectiveness Score]]&lt;=8,"Medium (6,5-8)","High (8-10)"))</f>
        <v>Medium (6,5-8)</v>
      </c>
      <c r="S68" s="2" t="str">
        <f>IF(AuditData[[#This Row],[Client Satisfaction Score]]&lt;=6.5,"Low (5-6,5)",IF(AuditData[[#This Row],[Client Satisfaction Score]]&lt;=8,"Medium (6,5-8)","High (8-10)"))</f>
        <v>High (8-10)</v>
      </c>
    </row>
    <row r="69" spans="1:19" x14ac:dyDescent="0.3">
      <c r="A69">
        <v>2022</v>
      </c>
      <c r="B69" t="s">
        <v>9</v>
      </c>
      <c r="C69">
        <v>4624</v>
      </c>
      <c r="D69">
        <v>472</v>
      </c>
      <c r="E69">
        <v>142</v>
      </c>
      <c r="F69">
        <v>50</v>
      </c>
      <c r="G69" t="s">
        <v>5</v>
      </c>
      <c r="H69" s="1">
        <v>65</v>
      </c>
      <c r="I69" t="s">
        <v>4</v>
      </c>
      <c r="J69">
        <v>46</v>
      </c>
      <c r="K69">
        <v>5.5</v>
      </c>
      <c r="L69">
        <v>5.7</v>
      </c>
      <c r="M69" s="2">
        <f>AuditData[[#This Row],[High Risk Cases]]/AuditData[[#This Row],[Total Audit Engagements]]</f>
        <v>0.10207612456747404</v>
      </c>
      <c r="N69" s="2">
        <f>AuditData[[#This Row],[Compliance Violations]]/AuditData[[#This Row],[Total Audit Engagements]]</f>
        <v>3.0709342560553632E-2</v>
      </c>
      <c r="O69" s="1">
        <f>AuditData[[#This Row],[Total Revenue Impact (mln USD)]]/AuditData[[#This Row],[Fraud Cases Detected]]</f>
        <v>1.3</v>
      </c>
      <c r="P69" s="2">
        <f>AuditData[[#This Row],[Fraud Cases Detected]]/AuditData[[#This Row],[Total Audit Engagements]]</f>
        <v>1.0813148788927335E-2</v>
      </c>
      <c r="Q69" s="2">
        <f>IF(AuditData[[#This Row],[AI Used for Auditing]]="Yes",1,0)</f>
        <v>1</v>
      </c>
      <c r="R69" s="2" t="str">
        <f>IF(AuditData[[#This Row],[Audit Effectiveness Score]]&lt;=6.5,"Low (5-6,5)",IF(AuditData[[#This Row],[Audit Effectiveness Score]]&lt;=8,"Medium (6,5-8)","High (8-10)"))</f>
        <v>Low (5-6,5)</v>
      </c>
      <c r="S69" s="2" t="str">
        <f>IF(AuditData[[#This Row],[Client Satisfaction Score]]&lt;=6.5,"Low (5-6,5)",IF(AuditData[[#This Row],[Client Satisfaction Score]]&lt;=8,"Medium (6,5-8)","High (8-10)"))</f>
        <v>Low (5-6,5)</v>
      </c>
    </row>
    <row r="70" spans="1:19" x14ac:dyDescent="0.3">
      <c r="A70">
        <v>2024</v>
      </c>
      <c r="B70" t="s">
        <v>8</v>
      </c>
      <c r="C70">
        <v>1825</v>
      </c>
      <c r="D70">
        <v>377</v>
      </c>
      <c r="E70">
        <v>31</v>
      </c>
      <c r="F70">
        <v>80</v>
      </c>
      <c r="G70" t="s">
        <v>7</v>
      </c>
      <c r="H70" s="1">
        <v>193.07</v>
      </c>
      <c r="I70" t="s">
        <v>2</v>
      </c>
      <c r="J70">
        <v>74</v>
      </c>
      <c r="K70">
        <v>6</v>
      </c>
      <c r="L70">
        <v>9.5</v>
      </c>
      <c r="M70" s="2">
        <f>AuditData[[#This Row],[High Risk Cases]]/AuditData[[#This Row],[Total Audit Engagements]]</f>
        <v>0.20657534246575343</v>
      </c>
      <c r="N70" s="2">
        <f>AuditData[[#This Row],[Compliance Violations]]/AuditData[[#This Row],[Total Audit Engagements]]</f>
        <v>1.6986301369863014E-2</v>
      </c>
      <c r="O70" s="1">
        <f>AuditData[[#This Row],[Total Revenue Impact (mln USD)]]/AuditData[[#This Row],[Fraud Cases Detected]]</f>
        <v>2.4133749999999998</v>
      </c>
      <c r="P70" s="2">
        <f>AuditData[[#This Row],[Fraud Cases Detected]]/AuditData[[#This Row],[Total Audit Engagements]]</f>
        <v>4.3835616438356165E-2</v>
      </c>
      <c r="Q70" s="2">
        <f>IF(AuditData[[#This Row],[AI Used for Auditing]]="Yes",1,0)</f>
        <v>0</v>
      </c>
      <c r="R70" s="2" t="str">
        <f>IF(AuditData[[#This Row],[Audit Effectiveness Score]]&lt;=6.5,"Low (5-6,5)",IF(AuditData[[#This Row],[Audit Effectiveness Score]]&lt;=8,"Medium (6,5-8)","High (8-10)"))</f>
        <v>Low (5-6,5)</v>
      </c>
      <c r="S70" s="2" t="str">
        <f>IF(AuditData[[#This Row],[Client Satisfaction Score]]&lt;=6.5,"Low (5-6,5)",IF(AuditData[[#This Row],[Client Satisfaction Score]]&lt;=8,"Medium (6,5-8)","High (8-10)"))</f>
        <v>High (8-10)</v>
      </c>
    </row>
    <row r="71" spans="1:19" x14ac:dyDescent="0.3">
      <c r="A71">
        <v>2021</v>
      </c>
      <c r="B71" t="s">
        <v>8</v>
      </c>
      <c r="C71">
        <v>1069</v>
      </c>
      <c r="D71">
        <v>222</v>
      </c>
      <c r="E71">
        <v>102</v>
      </c>
      <c r="F71">
        <v>11</v>
      </c>
      <c r="G71" t="s">
        <v>7</v>
      </c>
      <c r="H71" s="1">
        <v>497.06</v>
      </c>
      <c r="I71" t="s">
        <v>2</v>
      </c>
      <c r="J71">
        <v>54</v>
      </c>
      <c r="K71">
        <v>6.2</v>
      </c>
      <c r="L71">
        <v>6.6</v>
      </c>
      <c r="M71" s="2">
        <f>AuditData[[#This Row],[High Risk Cases]]/AuditData[[#This Row],[Total Audit Engagements]]</f>
        <v>0.20767072029934519</v>
      </c>
      <c r="N71" s="2">
        <f>AuditData[[#This Row],[Compliance Violations]]/AuditData[[#This Row],[Total Audit Engagements]]</f>
        <v>9.5416276894293731E-2</v>
      </c>
      <c r="O71" s="1">
        <f>AuditData[[#This Row],[Total Revenue Impact (mln USD)]]/AuditData[[#This Row],[Fraud Cases Detected]]</f>
        <v>45.187272727272727</v>
      </c>
      <c r="P71" s="2">
        <f>AuditData[[#This Row],[Fraud Cases Detected]]/AuditData[[#This Row],[Total Audit Engagements]]</f>
        <v>1.028999064546305E-2</v>
      </c>
      <c r="Q71" s="2">
        <f>IF(AuditData[[#This Row],[AI Used for Auditing]]="Yes",1,0)</f>
        <v>0</v>
      </c>
      <c r="R71" s="2" t="str">
        <f>IF(AuditData[[#This Row],[Audit Effectiveness Score]]&lt;=6.5,"Low (5-6,5)",IF(AuditData[[#This Row],[Audit Effectiveness Score]]&lt;=8,"Medium (6,5-8)","High (8-10)"))</f>
        <v>Low (5-6,5)</v>
      </c>
      <c r="S71" s="2" t="str">
        <f>IF(AuditData[[#This Row],[Client Satisfaction Score]]&lt;=6.5,"Low (5-6,5)",IF(AuditData[[#This Row],[Client Satisfaction Score]]&lt;=8,"Medium (6,5-8)","High (8-10)"))</f>
        <v>Medium (6,5-8)</v>
      </c>
    </row>
    <row r="72" spans="1:19" x14ac:dyDescent="0.3">
      <c r="A72">
        <v>2023</v>
      </c>
      <c r="B72" t="s">
        <v>0</v>
      </c>
      <c r="C72">
        <v>2283</v>
      </c>
      <c r="D72">
        <v>58</v>
      </c>
      <c r="E72">
        <v>103</v>
      </c>
      <c r="F72">
        <v>82</v>
      </c>
      <c r="G72" t="s">
        <v>1</v>
      </c>
      <c r="H72" s="1">
        <v>168.15</v>
      </c>
      <c r="I72" t="s">
        <v>4</v>
      </c>
      <c r="J72">
        <v>59</v>
      </c>
      <c r="K72">
        <v>6.7</v>
      </c>
      <c r="L72">
        <v>5.6</v>
      </c>
      <c r="M72" s="2">
        <f>AuditData[[#This Row],[High Risk Cases]]/AuditData[[#This Row],[Total Audit Engagements]]</f>
        <v>2.5405168637757335E-2</v>
      </c>
      <c r="N72" s="2">
        <f>AuditData[[#This Row],[Compliance Violations]]/AuditData[[#This Row],[Total Audit Engagements]]</f>
        <v>4.5116075339465614E-2</v>
      </c>
      <c r="O72" s="1">
        <f>AuditData[[#This Row],[Total Revenue Impact (mln USD)]]/AuditData[[#This Row],[Fraud Cases Detected]]</f>
        <v>2.0506097560975611</v>
      </c>
      <c r="P72" s="2">
        <f>AuditData[[#This Row],[Fraud Cases Detected]]/AuditData[[#This Row],[Total Audit Engagements]]</f>
        <v>3.5917652212001751E-2</v>
      </c>
      <c r="Q72" s="2">
        <f>IF(AuditData[[#This Row],[AI Used for Auditing]]="Yes",1,0)</f>
        <v>1</v>
      </c>
      <c r="R72" s="2" t="str">
        <f>IF(AuditData[[#This Row],[Audit Effectiveness Score]]&lt;=6.5,"Low (5-6,5)",IF(AuditData[[#This Row],[Audit Effectiveness Score]]&lt;=8,"Medium (6,5-8)","High (8-10)"))</f>
        <v>Medium (6,5-8)</v>
      </c>
      <c r="S72" s="2" t="str">
        <f>IF(AuditData[[#This Row],[Client Satisfaction Score]]&lt;=6.5,"Low (5-6,5)",IF(AuditData[[#This Row],[Client Satisfaction Score]]&lt;=8,"Medium (6,5-8)","High (8-10)"))</f>
        <v>Low (5-6,5)</v>
      </c>
    </row>
    <row r="73" spans="1:19" x14ac:dyDescent="0.3">
      <c r="A73">
        <v>2024</v>
      </c>
      <c r="B73" t="s">
        <v>3</v>
      </c>
      <c r="C73">
        <v>4784</v>
      </c>
      <c r="D73">
        <v>382</v>
      </c>
      <c r="E73">
        <v>15</v>
      </c>
      <c r="F73">
        <v>73</v>
      </c>
      <c r="G73" t="s">
        <v>1</v>
      </c>
      <c r="H73" s="1">
        <v>268.67</v>
      </c>
      <c r="I73" t="s">
        <v>2</v>
      </c>
      <c r="J73">
        <v>59</v>
      </c>
      <c r="K73">
        <v>6.7</v>
      </c>
      <c r="L73">
        <v>10</v>
      </c>
      <c r="M73" s="2">
        <f>AuditData[[#This Row],[High Risk Cases]]/AuditData[[#This Row],[Total Audit Engagements]]</f>
        <v>7.98494983277592E-2</v>
      </c>
      <c r="N73" s="2">
        <f>AuditData[[#This Row],[Compliance Violations]]/AuditData[[#This Row],[Total Audit Engagements]]</f>
        <v>3.1354515050167225E-3</v>
      </c>
      <c r="O73" s="1">
        <f>AuditData[[#This Row],[Total Revenue Impact (mln USD)]]/AuditData[[#This Row],[Fraud Cases Detected]]</f>
        <v>3.6804109589041096</v>
      </c>
      <c r="P73" s="2">
        <f>AuditData[[#This Row],[Fraud Cases Detected]]/AuditData[[#This Row],[Total Audit Engagements]]</f>
        <v>1.5259197324414716E-2</v>
      </c>
      <c r="Q73" s="2">
        <f>IF(AuditData[[#This Row],[AI Used for Auditing]]="Yes",1,0)</f>
        <v>0</v>
      </c>
      <c r="R73" s="2" t="str">
        <f>IF(AuditData[[#This Row],[Audit Effectiveness Score]]&lt;=6.5,"Low (5-6,5)",IF(AuditData[[#This Row],[Audit Effectiveness Score]]&lt;=8,"Medium (6,5-8)","High (8-10)"))</f>
        <v>Medium (6,5-8)</v>
      </c>
      <c r="S73" s="2" t="str">
        <f>IF(AuditData[[#This Row],[Client Satisfaction Score]]&lt;=6.5,"Low (5-6,5)",IF(AuditData[[#This Row],[Client Satisfaction Score]]&lt;=8,"Medium (6,5-8)","High (8-10)"))</f>
        <v>High (8-10)</v>
      </c>
    </row>
    <row r="74" spans="1:19" x14ac:dyDescent="0.3">
      <c r="A74">
        <v>2020</v>
      </c>
      <c r="B74" t="s">
        <v>9</v>
      </c>
      <c r="C74">
        <v>2861</v>
      </c>
      <c r="D74">
        <v>433</v>
      </c>
      <c r="E74">
        <v>139</v>
      </c>
      <c r="F74">
        <v>71</v>
      </c>
      <c r="G74" t="s">
        <v>6</v>
      </c>
      <c r="H74" s="1">
        <v>381.61</v>
      </c>
      <c r="I74" t="s">
        <v>2</v>
      </c>
      <c r="J74">
        <v>49</v>
      </c>
      <c r="K74">
        <v>9.1999999999999993</v>
      </c>
      <c r="L74">
        <v>9</v>
      </c>
      <c r="M74" s="2">
        <f>AuditData[[#This Row],[High Risk Cases]]/AuditData[[#This Row],[Total Audit Engagements]]</f>
        <v>0.15134568332750786</v>
      </c>
      <c r="N74" s="2">
        <f>AuditData[[#This Row],[Compliance Violations]]/AuditData[[#This Row],[Total Audit Engagements]]</f>
        <v>4.8584411045089128E-2</v>
      </c>
      <c r="O74" s="1">
        <f>AuditData[[#This Row],[Total Revenue Impact (mln USD)]]/AuditData[[#This Row],[Fraud Cases Detected]]</f>
        <v>5.3747887323943662</v>
      </c>
      <c r="P74" s="2">
        <f>AuditData[[#This Row],[Fraud Cases Detected]]/AuditData[[#This Row],[Total Audit Engagements]]</f>
        <v>2.481649772806711E-2</v>
      </c>
      <c r="Q74" s="2">
        <f>IF(AuditData[[#This Row],[AI Used for Auditing]]="Yes",1,0)</f>
        <v>0</v>
      </c>
      <c r="R74" s="2" t="str">
        <f>IF(AuditData[[#This Row],[Audit Effectiveness Score]]&lt;=6.5,"Low (5-6,5)",IF(AuditData[[#This Row],[Audit Effectiveness Score]]&lt;=8,"Medium (6,5-8)","High (8-10)"))</f>
        <v>High (8-10)</v>
      </c>
      <c r="S74" s="2" t="str">
        <f>IF(AuditData[[#This Row],[Client Satisfaction Score]]&lt;=6.5,"Low (5-6,5)",IF(AuditData[[#This Row],[Client Satisfaction Score]]&lt;=8,"Medium (6,5-8)","High (8-10)"))</f>
        <v>High (8-10)</v>
      </c>
    </row>
    <row r="75" spans="1:19" x14ac:dyDescent="0.3">
      <c r="A75">
        <v>2023</v>
      </c>
      <c r="B75" t="s">
        <v>9</v>
      </c>
      <c r="C75">
        <v>3616</v>
      </c>
      <c r="D75">
        <v>330</v>
      </c>
      <c r="E75">
        <v>71</v>
      </c>
      <c r="F75">
        <v>67</v>
      </c>
      <c r="G75" t="s">
        <v>5</v>
      </c>
      <c r="H75" s="1">
        <v>130.85</v>
      </c>
      <c r="I75" t="s">
        <v>4</v>
      </c>
      <c r="J75">
        <v>75</v>
      </c>
      <c r="K75">
        <v>8.8000000000000007</v>
      </c>
      <c r="L75">
        <v>5.4</v>
      </c>
      <c r="M75" s="2">
        <f>AuditData[[#This Row],[High Risk Cases]]/AuditData[[#This Row],[Total Audit Engagements]]</f>
        <v>9.1261061946902658E-2</v>
      </c>
      <c r="N75" s="2">
        <f>AuditData[[#This Row],[Compliance Violations]]/AuditData[[#This Row],[Total Audit Engagements]]</f>
        <v>1.9634955752212389E-2</v>
      </c>
      <c r="O75" s="1">
        <f>AuditData[[#This Row],[Total Revenue Impact (mln USD)]]/AuditData[[#This Row],[Fraud Cases Detected]]</f>
        <v>1.9529850746268655</v>
      </c>
      <c r="P75" s="2">
        <f>AuditData[[#This Row],[Fraud Cases Detected]]/AuditData[[#This Row],[Total Audit Engagements]]</f>
        <v>1.8528761061946904E-2</v>
      </c>
      <c r="Q75" s="2">
        <f>IF(AuditData[[#This Row],[AI Used for Auditing]]="Yes",1,0)</f>
        <v>1</v>
      </c>
      <c r="R75" s="2" t="str">
        <f>IF(AuditData[[#This Row],[Audit Effectiveness Score]]&lt;=6.5,"Low (5-6,5)",IF(AuditData[[#This Row],[Audit Effectiveness Score]]&lt;=8,"Medium (6,5-8)","High (8-10)"))</f>
        <v>High (8-10)</v>
      </c>
      <c r="S75" s="2" t="str">
        <f>IF(AuditData[[#This Row],[Client Satisfaction Score]]&lt;=6.5,"Low (5-6,5)",IF(AuditData[[#This Row],[Client Satisfaction Score]]&lt;=8,"Medium (6,5-8)","High (8-10)"))</f>
        <v>Low (5-6,5)</v>
      </c>
    </row>
    <row r="76" spans="1:19" x14ac:dyDescent="0.3">
      <c r="A76">
        <v>2025</v>
      </c>
      <c r="B76" t="s">
        <v>8</v>
      </c>
      <c r="C76">
        <v>4452</v>
      </c>
      <c r="D76">
        <v>345</v>
      </c>
      <c r="E76">
        <v>38</v>
      </c>
      <c r="F76">
        <v>82</v>
      </c>
      <c r="G76" t="s">
        <v>5</v>
      </c>
      <c r="H76" s="1">
        <v>291.77</v>
      </c>
      <c r="I76" t="s">
        <v>4</v>
      </c>
      <c r="J76">
        <v>78</v>
      </c>
      <c r="K76">
        <v>9.6</v>
      </c>
      <c r="L76">
        <v>7.4</v>
      </c>
      <c r="M76" s="2">
        <f>AuditData[[#This Row],[High Risk Cases]]/AuditData[[#This Row],[Total Audit Engagements]]</f>
        <v>7.7493261455525611E-2</v>
      </c>
      <c r="N76" s="2">
        <f>AuditData[[#This Row],[Compliance Violations]]/AuditData[[#This Row],[Total Audit Engagements]]</f>
        <v>8.5354896675651389E-3</v>
      </c>
      <c r="O76" s="1">
        <f>AuditData[[#This Row],[Total Revenue Impact (mln USD)]]/AuditData[[#This Row],[Fraud Cases Detected]]</f>
        <v>3.558170731707317</v>
      </c>
      <c r="P76" s="2">
        <f>AuditData[[#This Row],[Fraud Cases Detected]]/AuditData[[#This Row],[Total Audit Engagements]]</f>
        <v>1.8418688230008983E-2</v>
      </c>
      <c r="Q76" s="2">
        <f>IF(AuditData[[#This Row],[AI Used for Auditing]]="Yes",1,0)</f>
        <v>1</v>
      </c>
      <c r="R76" s="2" t="str">
        <f>IF(AuditData[[#This Row],[Audit Effectiveness Score]]&lt;=6.5,"Low (5-6,5)",IF(AuditData[[#This Row],[Audit Effectiveness Score]]&lt;=8,"Medium (6,5-8)","High (8-10)"))</f>
        <v>High (8-10)</v>
      </c>
      <c r="S76" s="2" t="str">
        <f>IF(AuditData[[#This Row],[Client Satisfaction Score]]&lt;=6.5,"Low (5-6,5)",IF(AuditData[[#This Row],[Client Satisfaction Score]]&lt;=8,"Medium (6,5-8)","High (8-10)"))</f>
        <v>Medium (6,5-8)</v>
      </c>
    </row>
    <row r="77" spans="1:19" x14ac:dyDescent="0.3">
      <c r="A77">
        <v>2021</v>
      </c>
      <c r="B77" t="s">
        <v>0</v>
      </c>
      <c r="C77">
        <v>1078</v>
      </c>
      <c r="D77">
        <v>395</v>
      </c>
      <c r="E77">
        <v>58</v>
      </c>
      <c r="F77">
        <v>5</v>
      </c>
      <c r="G77" t="s">
        <v>7</v>
      </c>
      <c r="H77" s="1">
        <v>139.47999999999999</v>
      </c>
      <c r="I77" t="s">
        <v>4</v>
      </c>
      <c r="J77">
        <v>62</v>
      </c>
      <c r="K77">
        <v>7.3</v>
      </c>
      <c r="L77">
        <v>5.9</v>
      </c>
      <c r="M77" s="2">
        <f>AuditData[[#This Row],[High Risk Cases]]/AuditData[[#This Row],[Total Audit Engagements]]</f>
        <v>0.36641929499072357</v>
      </c>
      <c r="N77" s="2">
        <f>AuditData[[#This Row],[Compliance Violations]]/AuditData[[#This Row],[Total Audit Engagements]]</f>
        <v>5.3803339517625233E-2</v>
      </c>
      <c r="O77" s="1">
        <f>AuditData[[#This Row],[Total Revenue Impact (mln USD)]]/AuditData[[#This Row],[Fraud Cases Detected]]</f>
        <v>27.895999999999997</v>
      </c>
      <c r="P77" s="2">
        <f>AuditData[[#This Row],[Fraud Cases Detected]]/AuditData[[#This Row],[Total Audit Engagements]]</f>
        <v>4.6382189239332098E-3</v>
      </c>
      <c r="Q77" s="2">
        <f>IF(AuditData[[#This Row],[AI Used for Auditing]]="Yes",1,0)</f>
        <v>1</v>
      </c>
      <c r="R77" s="2" t="str">
        <f>IF(AuditData[[#This Row],[Audit Effectiveness Score]]&lt;=6.5,"Low (5-6,5)",IF(AuditData[[#This Row],[Audit Effectiveness Score]]&lt;=8,"Medium (6,5-8)","High (8-10)"))</f>
        <v>Medium (6,5-8)</v>
      </c>
      <c r="S77" s="2" t="str">
        <f>IF(AuditData[[#This Row],[Client Satisfaction Score]]&lt;=6.5,"Low (5-6,5)",IF(AuditData[[#This Row],[Client Satisfaction Score]]&lt;=8,"Medium (6,5-8)","High (8-10)"))</f>
        <v>Low (5-6,5)</v>
      </c>
    </row>
    <row r="78" spans="1:19" x14ac:dyDescent="0.3">
      <c r="A78">
        <v>2020</v>
      </c>
      <c r="B78" t="s">
        <v>8</v>
      </c>
      <c r="C78">
        <v>1286</v>
      </c>
      <c r="D78">
        <v>391</v>
      </c>
      <c r="E78">
        <v>47</v>
      </c>
      <c r="F78">
        <v>60</v>
      </c>
      <c r="G78" t="s">
        <v>7</v>
      </c>
      <c r="H78" s="1">
        <v>85.46</v>
      </c>
      <c r="I78" t="s">
        <v>2</v>
      </c>
      <c r="J78">
        <v>48</v>
      </c>
      <c r="K78">
        <v>6.5</v>
      </c>
      <c r="L78">
        <v>5.9</v>
      </c>
      <c r="M78" s="2">
        <f>AuditData[[#This Row],[High Risk Cases]]/AuditData[[#This Row],[Total Audit Engagements]]</f>
        <v>0.30404354587869364</v>
      </c>
      <c r="N78" s="2">
        <f>AuditData[[#This Row],[Compliance Violations]]/AuditData[[#This Row],[Total Audit Engagements]]</f>
        <v>3.6547433903576981E-2</v>
      </c>
      <c r="O78" s="1">
        <f>AuditData[[#This Row],[Total Revenue Impact (mln USD)]]/AuditData[[#This Row],[Fraud Cases Detected]]</f>
        <v>1.4243333333333332</v>
      </c>
      <c r="P78" s="2">
        <f>AuditData[[#This Row],[Fraud Cases Detected]]/AuditData[[#This Row],[Total Audit Engagements]]</f>
        <v>4.6656298600311043E-2</v>
      </c>
      <c r="Q78" s="2">
        <f>IF(AuditData[[#This Row],[AI Used for Auditing]]="Yes",1,0)</f>
        <v>0</v>
      </c>
      <c r="R78" s="2" t="str">
        <f>IF(AuditData[[#This Row],[Audit Effectiveness Score]]&lt;=6.5,"Low (5-6,5)",IF(AuditData[[#This Row],[Audit Effectiveness Score]]&lt;=8,"Medium (6,5-8)","High (8-10)"))</f>
        <v>Low (5-6,5)</v>
      </c>
      <c r="S78" s="2" t="str">
        <f>IF(AuditData[[#This Row],[Client Satisfaction Score]]&lt;=6.5,"Low (5-6,5)",IF(AuditData[[#This Row],[Client Satisfaction Score]]&lt;=8,"Medium (6,5-8)","High (8-10)"))</f>
        <v>Low (5-6,5)</v>
      </c>
    </row>
    <row r="79" spans="1:19" x14ac:dyDescent="0.3">
      <c r="A79">
        <v>2024</v>
      </c>
      <c r="B79" t="s">
        <v>0</v>
      </c>
      <c r="C79">
        <v>1574</v>
      </c>
      <c r="D79">
        <v>391</v>
      </c>
      <c r="E79">
        <v>19</v>
      </c>
      <c r="F79">
        <v>50</v>
      </c>
      <c r="G79" t="s">
        <v>7</v>
      </c>
      <c r="H79" s="1">
        <v>240.87</v>
      </c>
      <c r="I79" t="s">
        <v>2</v>
      </c>
      <c r="J79">
        <v>74</v>
      </c>
      <c r="K79">
        <v>8.3000000000000007</v>
      </c>
      <c r="L79">
        <v>5.3</v>
      </c>
      <c r="M79" s="2">
        <f>AuditData[[#This Row],[High Risk Cases]]/AuditData[[#This Row],[Total Audit Engagements]]</f>
        <v>0.24841168996188057</v>
      </c>
      <c r="N79" s="2">
        <f>AuditData[[#This Row],[Compliance Violations]]/AuditData[[#This Row],[Total Audit Engagements]]</f>
        <v>1.207115628970775E-2</v>
      </c>
      <c r="O79" s="1">
        <f>AuditData[[#This Row],[Total Revenue Impact (mln USD)]]/AuditData[[#This Row],[Fraud Cases Detected]]</f>
        <v>4.8174000000000001</v>
      </c>
      <c r="P79" s="2">
        <f>AuditData[[#This Row],[Fraud Cases Detected]]/AuditData[[#This Row],[Total Audit Engagements]]</f>
        <v>3.176620076238882E-2</v>
      </c>
      <c r="Q79" s="2">
        <f>IF(AuditData[[#This Row],[AI Used for Auditing]]="Yes",1,0)</f>
        <v>0</v>
      </c>
      <c r="R79" s="2" t="str">
        <f>IF(AuditData[[#This Row],[Audit Effectiveness Score]]&lt;=6.5,"Low (5-6,5)",IF(AuditData[[#This Row],[Audit Effectiveness Score]]&lt;=8,"Medium (6,5-8)","High (8-10)"))</f>
        <v>High (8-10)</v>
      </c>
      <c r="S79" s="2" t="str">
        <f>IF(AuditData[[#This Row],[Client Satisfaction Score]]&lt;=6.5,"Low (5-6,5)",IF(AuditData[[#This Row],[Client Satisfaction Score]]&lt;=8,"Medium (6,5-8)","High (8-10)"))</f>
        <v>Low (5-6,5)</v>
      </c>
    </row>
    <row r="80" spans="1:19" x14ac:dyDescent="0.3">
      <c r="A80">
        <v>2024</v>
      </c>
      <c r="B80" t="s">
        <v>0</v>
      </c>
      <c r="C80">
        <v>1076</v>
      </c>
      <c r="D80">
        <v>86</v>
      </c>
      <c r="E80">
        <v>67</v>
      </c>
      <c r="F80">
        <v>17</v>
      </c>
      <c r="G80" t="s">
        <v>6</v>
      </c>
      <c r="H80" s="1">
        <v>206.47</v>
      </c>
      <c r="I80" t="s">
        <v>4</v>
      </c>
      <c r="J80">
        <v>62</v>
      </c>
      <c r="K80">
        <v>7.9</v>
      </c>
      <c r="L80">
        <v>9.9</v>
      </c>
      <c r="M80" s="2">
        <f>AuditData[[#This Row],[High Risk Cases]]/AuditData[[#This Row],[Total Audit Engagements]]</f>
        <v>7.9925650557620811E-2</v>
      </c>
      <c r="N80" s="2">
        <f>AuditData[[#This Row],[Compliance Violations]]/AuditData[[#This Row],[Total Audit Engagements]]</f>
        <v>6.2267657992565055E-2</v>
      </c>
      <c r="O80" s="1">
        <f>AuditData[[#This Row],[Total Revenue Impact (mln USD)]]/AuditData[[#This Row],[Fraud Cases Detected]]</f>
        <v>12.145294117647058</v>
      </c>
      <c r="P80" s="2">
        <f>AuditData[[#This Row],[Fraud Cases Detected]]/AuditData[[#This Row],[Total Audit Engagements]]</f>
        <v>1.5799256505576207E-2</v>
      </c>
      <c r="Q80" s="2">
        <f>IF(AuditData[[#This Row],[AI Used for Auditing]]="Yes",1,0)</f>
        <v>1</v>
      </c>
      <c r="R80" s="2" t="str">
        <f>IF(AuditData[[#This Row],[Audit Effectiveness Score]]&lt;=6.5,"Low (5-6,5)",IF(AuditData[[#This Row],[Audit Effectiveness Score]]&lt;=8,"Medium (6,5-8)","High (8-10)"))</f>
        <v>Medium (6,5-8)</v>
      </c>
      <c r="S80" s="2" t="str">
        <f>IF(AuditData[[#This Row],[Client Satisfaction Score]]&lt;=6.5,"Low (5-6,5)",IF(AuditData[[#This Row],[Client Satisfaction Score]]&lt;=8,"Medium (6,5-8)","High (8-10)"))</f>
        <v>High (8-10)</v>
      </c>
    </row>
    <row r="81" spans="1:19" x14ac:dyDescent="0.3">
      <c r="A81">
        <v>2021</v>
      </c>
      <c r="B81" t="s">
        <v>3</v>
      </c>
      <c r="C81">
        <v>3305</v>
      </c>
      <c r="D81">
        <v>226</v>
      </c>
      <c r="E81">
        <v>132</v>
      </c>
      <c r="F81">
        <v>81</v>
      </c>
      <c r="G81" t="s">
        <v>7</v>
      </c>
      <c r="H81" s="1">
        <v>403.02</v>
      </c>
      <c r="I81" t="s">
        <v>2</v>
      </c>
      <c r="J81">
        <v>73</v>
      </c>
      <c r="K81">
        <v>5.5</v>
      </c>
      <c r="L81">
        <v>7.6</v>
      </c>
      <c r="M81" s="2">
        <f>AuditData[[#This Row],[High Risk Cases]]/AuditData[[#This Row],[Total Audit Engagements]]</f>
        <v>6.8381240544629351E-2</v>
      </c>
      <c r="N81" s="2">
        <f>AuditData[[#This Row],[Compliance Violations]]/AuditData[[#This Row],[Total Audit Engagements]]</f>
        <v>3.9939485627836613E-2</v>
      </c>
      <c r="O81" s="1">
        <f>AuditData[[#This Row],[Total Revenue Impact (mln USD)]]/AuditData[[#This Row],[Fraud Cases Detected]]</f>
        <v>4.9755555555555553</v>
      </c>
      <c r="P81" s="2">
        <f>AuditData[[#This Row],[Fraud Cases Detected]]/AuditData[[#This Row],[Total Audit Engagements]]</f>
        <v>2.4508320726172466E-2</v>
      </c>
      <c r="Q81" s="2">
        <f>IF(AuditData[[#This Row],[AI Used for Auditing]]="Yes",1,0)</f>
        <v>0</v>
      </c>
      <c r="R81" s="2" t="str">
        <f>IF(AuditData[[#This Row],[Audit Effectiveness Score]]&lt;=6.5,"Low (5-6,5)",IF(AuditData[[#This Row],[Audit Effectiveness Score]]&lt;=8,"Medium (6,5-8)","High (8-10)"))</f>
        <v>Low (5-6,5)</v>
      </c>
      <c r="S81" s="2" t="str">
        <f>IF(AuditData[[#This Row],[Client Satisfaction Score]]&lt;=6.5,"Low (5-6,5)",IF(AuditData[[#This Row],[Client Satisfaction Score]]&lt;=8,"Medium (6,5-8)","High (8-10)"))</f>
        <v>Medium (6,5-8)</v>
      </c>
    </row>
    <row r="82" spans="1:19" x14ac:dyDescent="0.3">
      <c r="A82">
        <v>2020</v>
      </c>
      <c r="B82" t="s">
        <v>3</v>
      </c>
      <c r="C82">
        <v>912</v>
      </c>
      <c r="D82">
        <v>481</v>
      </c>
      <c r="E82">
        <v>200</v>
      </c>
      <c r="F82">
        <v>20</v>
      </c>
      <c r="G82" t="s">
        <v>1</v>
      </c>
      <c r="H82" s="1">
        <v>83.61</v>
      </c>
      <c r="I82" t="s">
        <v>2</v>
      </c>
      <c r="J82">
        <v>66</v>
      </c>
      <c r="K82">
        <v>8.6</v>
      </c>
      <c r="L82">
        <v>9.3000000000000007</v>
      </c>
      <c r="M82" s="2">
        <f>AuditData[[#This Row],[High Risk Cases]]/AuditData[[#This Row],[Total Audit Engagements]]</f>
        <v>0.52741228070175439</v>
      </c>
      <c r="N82" s="2">
        <f>AuditData[[#This Row],[Compliance Violations]]/AuditData[[#This Row],[Total Audit Engagements]]</f>
        <v>0.21929824561403508</v>
      </c>
      <c r="O82" s="1">
        <f>AuditData[[#This Row],[Total Revenue Impact (mln USD)]]/AuditData[[#This Row],[Fraud Cases Detected]]</f>
        <v>4.1805000000000003</v>
      </c>
      <c r="P82" s="2">
        <f>AuditData[[#This Row],[Fraud Cases Detected]]/AuditData[[#This Row],[Total Audit Engagements]]</f>
        <v>2.1929824561403508E-2</v>
      </c>
      <c r="Q82" s="2">
        <f>IF(AuditData[[#This Row],[AI Used for Auditing]]="Yes",1,0)</f>
        <v>0</v>
      </c>
      <c r="R82" s="2" t="str">
        <f>IF(AuditData[[#This Row],[Audit Effectiveness Score]]&lt;=6.5,"Low (5-6,5)",IF(AuditData[[#This Row],[Audit Effectiveness Score]]&lt;=8,"Medium (6,5-8)","High (8-10)"))</f>
        <v>High (8-10)</v>
      </c>
      <c r="S82" s="2" t="str">
        <f>IF(AuditData[[#This Row],[Client Satisfaction Score]]&lt;=6.5,"Low (5-6,5)",IF(AuditData[[#This Row],[Client Satisfaction Score]]&lt;=8,"Medium (6,5-8)","High (8-10)"))</f>
        <v>High (8-10)</v>
      </c>
    </row>
    <row r="83" spans="1:19" x14ac:dyDescent="0.3">
      <c r="A83">
        <v>2022</v>
      </c>
      <c r="B83" t="s">
        <v>8</v>
      </c>
      <c r="C83">
        <v>1516</v>
      </c>
      <c r="D83">
        <v>242</v>
      </c>
      <c r="E83">
        <v>134</v>
      </c>
      <c r="F83">
        <v>37</v>
      </c>
      <c r="G83" t="s">
        <v>6</v>
      </c>
      <c r="H83" s="1">
        <v>339.08</v>
      </c>
      <c r="I83" t="s">
        <v>2</v>
      </c>
      <c r="J83">
        <v>79</v>
      </c>
      <c r="K83">
        <v>5.6</v>
      </c>
      <c r="L83">
        <v>6.5</v>
      </c>
      <c r="M83" s="2">
        <f>AuditData[[#This Row],[High Risk Cases]]/AuditData[[#This Row],[Total Audit Engagements]]</f>
        <v>0.15963060686015831</v>
      </c>
      <c r="N83" s="2">
        <f>AuditData[[#This Row],[Compliance Violations]]/AuditData[[#This Row],[Total Audit Engagements]]</f>
        <v>8.8390501319261211E-2</v>
      </c>
      <c r="O83" s="1">
        <f>AuditData[[#This Row],[Total Revenue Impact (mln USD)]]/AuditData[[#This Row],[Fraud Cases Detected]]</f>
        <v>9.1643243243243244</v>
      </c>
      <c r="P83" s="2">
        <f>AuditData[[#This Row],[Fraud Cases Detected]]/AuditData[[#This Row],[Total Audit Engagements]]</f>
        <v>2.4406332453825858E-2</v>
      </c>
      <c r="Q83" s="2">
        <f>IF(AuditData[[#This Row],[AI Used for Auditing]]="Yes",1,0)</f>
        <v>0</v>
      </c>
      <c r="R83" s="2" t="str">
        <f>IF(AuditData[[#This Row],[Audit Effectiveness Score]]&lt;=6.5,"Low (5-6,5)",IF(AuditData[[#This Row],[Audit Effectiveness Score]]&lt;=8,"Medium (6,5-8)","High (8-10)"))</f>
        <v>Low (5-6,5)</v>
      </c>
      <c r="S83" s="2" t="str">
        <f>IF(AuditData[[#This Row],[Client Satisfaction Score]]&lt;=6.5,"Low (5-6,5)",IF(AuditData[[#This Row],[Client Satisfaction Score]]&lt;=8,"Medium (6,5-8)","High (8-10)"))</f>
        <v>Low (5-6,5)</v>
      </c>
    </row>
    <row r="84" spans="1:19" x14ac:dyDescent="0.3">
      <c r="A84">
        <v>2022</v>
      </c>
      <c r="B84" t="s">
        <v>9</v>
      </c>
      <c r="C84">
        <v>1012</v>
      </c>
      <c r="D84">
        <v>302</v>
      </c>
      <c r="E84">
        <v>124</v>
      </c>
      <c r="F84">
        <v>35</v>
      </c>
      <c r="G84" t="s">
        <v>7</v>
      </c>
      <c r="H84" s="1">
        <v>276.3</v>
      </c>
      <c r="I84" t="s">
        <v>2</v>
      </c>
      <c r="J84">
        <v>73</v>
      </c>
      <c r="K84">
        <v>7.7</v>
      </c>
      <c r="L84">
        <v>5.3</v>
      </c>
      <c r="M84" s="2">
        <f>AuditData[[#This Row],[High Risk Cases]]/AuditData[[#This Row],[Total Audit Engagements]]</f>
        <v>0.29841897233201581</v>
      </c>
      <c r="N84" s="2">
        <f>AuditData[[#This Row],[Compliance Violations]]/AuditData[[#This Row],[Total Audit Engagements]]</f>
        <v>0.1225296442687747</v>
      </c>
      <c r="O84" s="1">
        <f>AuditData[[#This Row],[Total Revenue Impact (mln USD)]]/AuditData[[#This Row],[Fraud Cases Detected]]</f>
        <v>7.894285714285715</v>
      </c>
      <c r="P84" s="2">
        <f>AuditData[[#This Row],[Fraud Cases Detected]]/AuditData[[#This Row],[Total Audit Engagements]]</f>
        <v>3.4584980237154152E-2</v>
      </c>
      <c r="Q84" s="2">
        <f>IF(AuditData[[#This Row],[AI Used for Auditing]]="Yes",1,0)</f>
        <v>0</v>
      </c>
      <c r="R84" s="2" t="str">
        <f>IF(AuditData[[#This Row],[Audit Effectiveness Score]]&lt;=6.5,"Low (5-6,5)",IF(AuditData[[#This Row],[Audit Effectiveness Score]]&lt;=8,"Medium (6,5-8)","High (8-10)"))</f>
        <v>Medium (6,5-8)</v>
      </c>
      <c r="S84" s="2" t="str">
        <f>IF(AuditData[[#This Row],[Client Satisfaction Score]]&lt;=6.5,"Low (5-6,5)",IF(AuditData[[#This Row],[Client Satisfaction Score]]&lt;=8,"Medium (6,5-8)","High (8-10)"))</f>
        <v>Low (5-6,5)</v>
      </c>
    </row>
    <row r="85" spans="1:19" x14ac:dyDescent="0.3">
      <c r="A85">
        <v>2023</v>
      </c>
      <c r="B85" t="s">
        <v>9</v>
      </c>
      <c r="C85">
        <v>3230</v>
      </c>
      <c r="D85">
        <v>290</v>
      </c>
      <c r="E85">
        <v>121</v>
      </c>
      <c r="F85">
        <v>91</v>
      </c>
      <c r="G85" t="s">
        <v>6</v>
      </c>
      <c r="H85" s="1">
        <v>435.76</v>
      </c>
      <c r="I85" t="s">
        <v>2</v>
      </c>
      <c r="J85">
        <v>59</v>
      </c>
      <c r="K85">
        <v>7.2</v>
      </c>
      <c r="L85">
        <v>9.1</v>
      </c>
      <c r="M85" s="2">
        <f>AuditData[[#This Row],[High Risk Cases]]/AuditData[[#This Row],[Total Audit Engagements]]</f>
        <v>8.9783281733746126E-2</v>
      </c>
      <c r="N85" s="2">
        <f>AuditData[[#This Row],[Compliance Violations]]/AuditData[[#This Row],[Total Audit Engagements]]</f>
        <v>3.7461300309597524E-2</v>
      </c>
      <c r="O85" s="1">
        <f>AuditData[[#This Row],[Total Revenue Impact (mln USD)]]/AuditData[[#This Row],[Fraud Cases Detected]]</f>
        <v>4.7885714285714283</v>
      </c>
      <c r="P85" s="2">
        <f>AuditData[[#This Row],[Fraud Cases Detected]]/AuditData[[#This Row],[Total Audit Engagements]]</f>
        <v>2.8173374613003097E-2</v>
      </c>
      <c r="Q85" s="2">
        <f>IF(AuditData[[#This Row],[AI Used for Auditing]]="Yes",1,0)</f>
        <v>0</v>
      </c>
      <c r="R85" s="2" t="str">
        <f>IF(AuditData[[#This Row],[Audit Effectiveness Score]]&lt;=6.5,"Low (5-6,5)",IF(AuditData[[#This Row],[Audit Effectiveness Score]]&lt;=8,"Medium (6,5-8)","High (8-10)"))</f>
        <v>Medium (6,5-8)</v>
      </c>
      <c r="S85" s="2" t="str">
        <f>IF(AuditData[[#This Row],[Client Satisfaction Score]]&lt;=6.5,"Low (5-6,5)",IF(AuditData[[#This Row],[Client Satisfaction Score]]&lt;=8,"Medium (6,5-8)","High (8-10)"))</f>
        <v>High (8-10)</v>
      </c>
    </row>
    <row r="86" spans="1:19" x14ac:dyDescent="0.3">
      <c r="A86">
        <v>2021</v>
      </c>
      <c r="B86" t="s">
        <v>9</v>
      </c>
      <c r="C86">
        <v>2503</v>
      </c>
      <c r="D86">
        <v>425</v>
      </c>
      <c r="E86">
        <v>45</v>
      </c>
      <c r="F86">
        <v>62</v>
      </c>
      <c r="G86" t="s">
        <v>6</v>
      </c>
      <c r="H86" s="1">
        <v>228.15</v>
      </c>
      <c r="I86" t="s">
        <v>2</v>
      </c>
      <c r="J86">
        <v>69</v>
      </c>
      <c r="K86">
        <v>7.4</v>
      </c>
      <c r="L86">
        <v>6.5</v>
      </c>
      <c r="M86" s="2">
        <f>AuditData[[#This Row],[High Risk Cases]]/AuditData[[#This Row],[Total Audit Engagements]]</f>
        <v>0.16979624450659209</v>
      </c>
      <c r="N86" s="2">
        <f>AuditData[[#This Row],[Compliance Violations]]/AuditData[[#This Row],[Total Audit Engagements]]</f>
        <v>1.797842588893328E-2</v>
      </c>
      <c r="O86" s="1">
        <f>AuditData[[#This Row],[Total Revenue Impact (mln USD)]]/AuditData[[#This Row],[Fraud Cases Detected]]</f>
        <v>3.6798387096774197</v>
      </c>
      <c r="P86" s="2">
        <f>AuditData[[#This Row],[Fraud Cases Detected]]/AuditData[[#This Row],[Total Audit Engagements]]</f>
        <v>2.4770275669196963E-2</v>
      </c>
      <c r="Q86" s="2">
        <f>IF(AuditData[[#This Row],[AI Used for Auditing]]="Yes",1,0)</f>
        <v>0</v>
      </c>
      <c r="R86" s="2" t="str">
        <f>IF(AuditData[[#This Row],[Audit Effectiveness Score]]&lt;=6.5,"Low (5-6,5)",IF(AuditData[[#This Row],[Audit Effectiveness Score]]&lt;=8,"Medium (6,5-8)","High (8-10)"))</f>
        <v>Medium (6,5-8)</v>
      </c>
      <c r="S86" s="2" t="str">
        <f>IF(AuditData[[#This Row],[Client Satisfaction Score]]&lt;=6.5,"Low (5-6,5)",IF(AuditData[[#This Row],[Client Satisfaction Score]]&lt;=8,"Medium (6,5-8)","High (8-10)"))</f>
        <v>Low (5-6,5)</v>
      </c>
    </row>
    <row r="87" spans="1:19" x14ac:dyDescent="0.3">
      <c r="A87">
        <v>2020</v>
      </c>
      <c r="B87" t="s">
        <v>0</v>
      </c>
      <c r="C87">
        <v>4946</v>
      </c>
      <c r="D87">
        <v>78</v>
      </c>
      <c r="E87">
        <v>90</v>
      </c>
      <c r="F87">
        <v>66</v>
      </c>
      <c r="G87" t="s">
        <v>7</v>
      </c>
      <c r="H87" s="1">
        <v>106.93</v>
      </c>
      <c r="I87" t="s">
        <v>2</v>
      </c>
      <c r="J87">
        <v>40</v>
      </c>
      <c r="K87">
        <v>5.4</v>
      </c>
      <c r="L87">
        <v>8.6999999999999993</v>
      </c>
      <c r="M87" s="2">
        <f>AuditData[[#This Row],[High Risk Cases]]/AuditData[[#This Row],[Total Audit Engagements]]</f>
        <v>1.5770319450060657E-2</v>
      </c>
      <c r="N87" s="2">
        <f>AuditData[[#This Row],[Compliance Violations]]/AuditData[[#This Row],[Total Audit Engagements]]</f>
        <v>1.8196522442377679E-2</v>
      </c>
      <c r="O87" s="1">
        <f>AuditData[[#This Row],[Total Revenue Impact (mln USD)]]/AuditData[[#This Row],[Fraud Cases Detected]]</f>
        <v>1.6201515151515153</v>
      </c>
      <c r="P87" s="2">
        <f>AuditData[[#This Row],[Fraud Cases Detected]]/AuditData[[#This Row],[Total Audit Engagements]]</f>
        <v>1.3344116457743631E-2</v>
      </c>
      <c r="Q87" s="2">
        <f>IF(AuditData[[#This Row],[AI Used for Auditing]]="Yes",1,0)</f>
        <v>0</v>
      </c>
      <c r="R87" s="2" t="str">
        <f>IF(AuditData[[#This Row],[Audit Effectiveness Score]]&lt;=6.5,"Low (5-6,5)",IF(AuditData[[#This Row],[Audit Effectiveness Score]]&lt;=8,"Medium (6,5-8)","High (8-10)"))</f>
        <v>Low (5-6,5)</v>
      </c>
      <c r="S87" s="2" t="str">
        <f>IF(AuditData[[#This Row],[Client Satisfaction Score]]&lt;=6.5,"Low (5-6,5)",IF(AuditData[[#This Row],[Client Satisfaction Score]]&lt;=8,"Medium (6,5-8)","High (8-10)"))</f>
        <v>High (8-10)</v>
      </c>
    </row>
    <row r="88" spans="1:19" x14ac:dyDescent="0.3">
      <c r="A88">
        <v>2025</v>
      </c>
      <c r="B88" t="s">
        <v>0</v>
      </c>
      <c r="C88">
        <v>4606</v>
      </c>
      <c r="D88">
        <v>221</v>
      </c>
      <c r="E88">
        <v>158</v>
      </c>
      <c r="F88">
        <v>90</v>
      </c>
      <c r="G88" t="s">
        <v>7</v>
      </c>
      <c r="H88" s="1">
        <v>382.67</v>
      </c>
      <c r="I88" t="s">
        <v>2</v>
      </c>
      <c r="J88">
        <v>45</v>
      </c>
      <c r="K88">
        <v>7.6</v>
      </c>
      <c r="L88">
        <v>6.1</v>
      </c>
      <c r="M88" s="2">
        <f>AuditData[[#This Row],[High Risk Cases]]/AuditData[[#This Row],[Total Audit Engagements]]</f>
        <v>4.7980894485453757E-2</v>
      </c>
      <c r="N88" s="2">
        <f>AuditData[[#This Row],[Compliance Violations]]/AuditData[[#This Row],[Total Audit Engagements]]</f>
        <v>3.4303082935301779E-2</v>
      </c>
      <c r="O88" s="1">
        <f>AuditData[[#This Row],[Total Revenue Impact (mln USD)]]/AuditData[[#This Row],[Fraud Cases Detected]]</f>
        <v>4.2518888888888888</v>
      </c>
      <c r="P88" s="2">
        <f>AuditData[[#This Row],[Fraud Cases Detected]]/AuditData[[#This Row],[Total Audit Engagements]]</f>
        <v>1.9539730785931395E-2</v>
      </c>
      <c r="Q88" s="2">
        <f>IF(AuditData[[#This Row],[AI Used for Auditing]]="Yes",1,0)</f>
        <v>0</v>
      </c>
      <c r="R88" s="2" t="str">
        <f>IF(AuditData[[#This Row],[Audit Effectiveness Score]]&lt;=6.5,"Low (5-6,5)",IF(AuditData[[#This Row],[Audit Effectiveness Score]]&lt;=8,"Medium (6,5-8)","High (8-10)"))</f>
        <v>Medium (6,5-8)</v>
      </c>
      <c r="S88" s="2" t="str">
        <f>IF(AuditData[[#This Row],[Client Satisfaction Score]]&lt;=6.5,"Low (5-6,5)",IF(AuditData[[#This Row],[Client Satisfaction Score]]&lt;=8,"Medium (6,5-8)","High (8-10)"))</f>
        <v>Low (5-6,5)</v>
      </c>
    </row>
    <row r="89" spans="1:19" x14ac:dyDescent="0.3">
      <c r="A89">
        <v>2025</v>
      </c>
      <c r="B89" t="s">
        <v>0</v>
      </c>
      <c r="C89">
        <v>1771</v>
      </c>
      <c r="D89">
        <v>158</v>
      </c>
      <c r="E89">
        <v>73</v>
      </c>
      <c r="F89">
        <v>33</v>
      </c>
      <c r="G89" t="s">
        <v>7</v>
      </c>
      <c r="H89" s="1">
        <v>485.64</v>
      </c>
      <c r="I89" t="s">
        <v>4</v>
      </c>
      <c r="J89">
        <v>68</v>
      </c>
      <c r="K89">
        <v>9.8000000000000007</v>
      </c>
      <c r="L89">
        <v>8.4</v>
      </c>
      <c r="M89" s="2">
        <f>AuditData[[#This Row],[High Risk Cases]]/AuditData[[#This Row],[Total Audit Engagements]]</f>
        <v>8.9215132693393567E-2</v>
      </c>
      <c r="N89" s="2">
        <f>AuditData[[#This Row],[Compliance Violations]]/AuditData[[#This Row],[Total Audit Engagements]]</f>
        <v>4.1219649915302088E-2</v>
      </c>
      <c r="O89" s="1">
        <f>AuditData[[#This Row],[Total Revenue Impact (mln USD)]]/AuditData[[#This Row],[Fraud Cases Detected]]</f>
        <v>14.716363636363637</v>
      </c>
      <c r="P89" s="2">
        <f>AuditData[[#This Row],[Fraud Cases Detected]]/AuditData[[#This Row],[Total Audit Engagements]]</f>
        <v>1.8633540372670808E-2</v>
      </c>
      <c r="Q89" s="2">
        <f>IF(AuditData[[#This Row],[AI Used for Auditing]]="Yes",1,0)</f>
        <v>1</v>
      </c>
      <c r="R89" s="2" t="str">
        <f>IF(AuditData[[#This Row],[Audit Effectiveness Score]]&lt;=6.5,"Low (5-6,5)",IF(AuditData[[#This Row],[Audit Effectiveness Score]]&lt;=8,"Medium (6,5-8)","High (8-10)"))</f>
        <v>High (8-10)</v>
      </c>
      <c r="S89" s="2" t="str">
        <f>IF(AuditData[[#This Row],[Client Satisfaction Score]]&lt;=6.5,"Low (5-6,5)",IF(AuditData[[#This Row],[Client Satisfaction Score]]&lt;=8,"Medium (6,5-8)","High (8-10)"))</f>
        <v>High (8-10)</v>
      </c>
    </row>
    <row r="90" spans="1:19" x14ac:dyDescent="0.3">
      <c r="A90">
        <v>2024</v>
      </c>
      <c r="B90" t="s">
        <v>0</v>
      </c>
      <c r="C90">
        <v>2676</v>
      </c>
      <c r="D90">
        <v>176</v>
      </c>
      <c r="E90">
        <v>36</v>
      </c>
      <c r="F90">
        <v>82</v>
      </c>
      <c r="G90" t="s">
        <v>5</v>
      </c>
      <c r="H90" s="1">
        <v>362.31</v>
      </c>
      <c r="I90" t="s">
        <v>4</v>
      </c>
      <c r="J90">
        <v>56</v>
      </c>
      <c r="K90">
        <v>9.5</v>
      </c>
      <c r="L90">
        <v>7.9</v>
      </c>
      <c r="M90" s="2">
        <f>AuditData[[#This Row],[High Risk Cases]]/AuditData[[#This Row],[Total Audit Engagements]]</f>
        <v>6.5769805680119586E-2</v>
      </c>
      <c r="N90" s="2">
        <f>AuditData[[#This Row],[Compliance Violations]]/AuditData[[#This Row],[Total Audit Engagements]]</f>
        <v>1.3452914798206279E-2</v>
      </c>
      <c r="O90" s="1">
        <f>AuditData[[#This Row],[Total Revenue Impact (mln USD)]]/AuditData[[#This Row],[Fraud Cases Detected]]</f>
        <v>4.4184146341463411</v>
      </c>
      <c r="P90" s="2">
        <f>AuditData[[#This Row],[Fraud Cases Detected]]/AuditData[[#This Row],[Total Audit Engagements]]</f>
        <v>3.0642750373692077E-2</v>
      </c>
      <c r="Q90" s="2">
        <f>IF(AuditData[[#This Row],[AI Used for Auditing]]="Yes",1,0)</f>
        <v>1</v>
      </c>
      <c r="R90" s="2" t="str">
        <f>IF(AuditData[[#This Row],[Audit Effectiveness Score]]&lt;=6.5,"Low (5-6,5)",IF(AuditData[[#This Row],[Audit Effectiveness Score]]&lt;=8,"Medium (6,5-8)","High (8-10)"))</f>
        <v>High (8-10)</v>
      </c>
      <c r="S90" s="2" t="str">
        <f>IF(AuditData[[#This Row],[Client Satisfaction Score]]&lt;=6.5,"Low (5-6,5)",IF(AuditData[[#This Row],[Client Satisfaction Score]]&lt;=8,"Medium (6,5-8)","High (8-10)"))</f>
        <v>Medium (6,5-8)</v>
      </c>
    </row>
    <row r="91" spans="1:19" x14ac:dyDescent="0.3">
      <c r="A91">
        <v>2022</v>
      </c>
      <c r="B91" t="s">
        <v>3</v>
      </c>
      <c r="C91">
        <v>962</v>
      </c>
      <c r="D91">
        <v>356</v>
      </c>
      <c r="E91">
        <v>155</v>
      </c>
      <c r="F91">
        <v>21</v>
      </c>
      <c r="G91" t="s">
        <v>5</v>
      </c>
      <c r="H91" s="1">
        <v>54.07</v>
      </c>
      <c r="I91" t="s">
        <v>4</v>
      </c>
      <c r="J91">
        <v>60</v>
      </c>
      <c r="K91">
        <v>9.1</v>
      </c>
      <c r="L91">
        <v>5.9</v>
      </c>
      <c r="M91" s="2">
        <f>AuditData[[#This Row],[High Risk Cases]]/AuditData[[#This Row],[Total Audit Engagements]]</f>
        <v>0.37006237006237008</v>
      </c>
      <c r="N91" s="2">
        <f>AuditData[[#This Row],[Compliance Violations]]/AuditData[[#This Row],[Total Audit Engagements]]</f>
        <v>0.16112266112266113</v>
      </c>
      <c r="O91" s="1">
        <f>AuditData[[#This Row],[Total Revenue Impact (mln USD)]]/AuditData[[#This Row],[Fraud Cases Detected]]</f>
        <v>2.5747619047619046</v>
      </c>
      <c r="P91" s="2">
        <f>AuditData[[#This Row],[Fraud Cases Detected]]/AuditData[[#This Row],[Total Audit Engagements]]</f>
        <v>2.1829521829521831E-2</v>
      </c>
      <c r="Q91" s="2">
        <f>IF(AuditData[[#This Row],[AI Used for Auditing]]="Yes",1,0)</f>
        <v>1</v>
      </c>
      <c r="R91" s="2" t="str">
        <f>IF(AuditData[[#This Row],[Audit Effectiveness Score]]&lt;=6.5,"Low (5-6,5)",IF(AuditData[[#This Row],[Audit Effectiveness Score]]&lt;=8,"Medium (6,5-8)","High (8-10)"))</f>
        <v>High (8-10)</v>
      </c>
      <c r="S91" s="2" t="str">
        <f>IF(AuditData[[#This Row],[Client Satisfaction Score]]&lt;=6.5,"Low (5-6,5)",IF(AuditData[[#This Row],[Client Satisfaction Score]]&lt;=8,"Medium (6,5-8)","High (8-10)"))</f>
        <v>Low (5-6,5)</v>
      </c>
    </row>
    <row r="92" spans="1:19" x14ac:dyDescent="0.3">
      <c r="A92">
        <v>2020</v>
      </c>
      <c r="B92" t="s">
        <v>3</v>
      </c>
      <c r="C92">
        <v>1925</v>
      </c>
      <c r="D92">
        <v>189</v>
      </c>
      <c r="E92">
        <v>39</v>
      </c>
      <c r="F92">
        <v>52</v>
      </c>
      <c r="G92" t="s">
        <v>7</v>
      </c>
      <c r="H92" s="1">
        <v>118.92</v>
      </c>
      <c r="I92" t="s">
        <v>2</v>
      </c>
      <c r="J92">
        <v>70</v>
      </c>
      <c r="K92">
        <v>9.4</v>
      </c>
      <c r="L92">
        <v>6.4</v>
      </c>
      <c r="M92" s="2">
        <f>AuditData[[#This Row],[High Risk Cases]]/AuditData[[#This Row],[Total Audit Engagements]]</f>
        <v>9.8181818181818176E-2</v>
      </c>
      <c r="N92" s="2">
        <f>AuditData[[#This Row],[Compliance Violations]]/AuditData[[#This Row],[Total Audit Engagements]]</f>
        <v>2.0259740259740259E-2</v>
      </c>
      <c r="O92" s="1">
        <f>AuditData[[#This Row],[Total Revenue Impact (mln USD)]]/AuditData[[#This Row],[Fraud Cases Detected]]</f>
        <v>2.2869230769230771</v>
      </c>
      <c r="P92" s="2">
        <f>AuditData[[#This Row],[Fraud Cases Detected]]/AuditData[[#This Row],[Total Audit Engagements]]</f>
        <v>2.7012987012987013E-2</v>
      </c>
      <c r="Q92" s="2">
        <f>IF(AuditData[[#This Row],[AI Used for Auditing]]="Yes",1,0)</f>
        <v>0</v>
      </c>
      <c r="R92" s="2" t="str">
        <f>IF(AuditData[[#This Row],[Audit Effectiveness Score]]&lt;=6.5,"Low (5-6,5)",IF(AuditData[[#This Row],[Audit Effectiveness Score]]&lt;=8,"Medium (6,5-8)","High (8-10)"))</f>
        <v>High (8-10)</v>
      </c>
      <c r="S92" s="2" t="str">
        <f>IF(AuditData[[#This Row],[Client Satisfaction Score]]&lt;=6.5,"Low (5-6,5)",IF(AuditData[[#This Row],[Client Satisfaction Score]]&lt;=8,"Medium (6,5-8)","High (8-10)"))</f>
        <v>Low (5-6,5)</v>
      </c>
    </row>
    <row r="93" spans="1:19" x14ac:dyDescent="0.3">
      <c r="A93">
        <v>2023</v>
      </c>
      <c r="B93" t="s">
        <v>9</v>
      </c>
      <c r="C93">
        <v>2919</v>
      </c>
      <c r="D93">
        <v>453</v>
      </c>
      <c r="E93">
        <v>35</v>
      </c>
      <c r="F93">
        <v>99</v>
      </c>
      <c r="G93" t="s">
        <v>7</v>
      </c>
      <c r="H93" s="1">
        <v>95.68</v>
      </c>
      <c r="I93" t="s">
        <v>4</v>
      </c>
      <c r="J93">
        <v>47</v>
      </c>
      <c r="K93">
        <v>8</v>
      </c>
      <c r="L93">
        <v>5.0999999999999996</v>
      </c>
      <c r="M93" s="2">
        <f>AuditData[[#This Row],[High Risk Cases]]/AuditData[[#This Row],[Total Audit Engagements]]</f>
        <v>0.15519013360739981</v>
      </c>
      <c r="N93" s="2">
        <f>AuditData[[#This Row],[Compliance Violations]]/AuditData[[#This Row],[Total Audit Engagements]]</f>
        <v>1.1990407673860911E-2</v>
      </c>
      <c r="O93" s="1">
        <f>AuditData[[#This Row],[Total Revenue Impact (mln USD)]]/AuditData[[#This Row],[Fraud Cases Detected]]</f>
        <v>0.96646464646464658</v>
      </c>
      <c r="P93" s="2">
        <f>AuditData[[#This Row],[Fraud Cases Detected]]/AuditData[[#This Row],[Total Audit Engagements]]</f>
        <v>3.391572456320658E-2</v>
      </c>
      <c r="Q93" s="2">
        <f>IF(AuditData[[#This Row],[AI Used for Auditing]]="Yes",1,0)</f>
        <v>1</v>
      </c>
      <c r="R93" s="2" t="str">
        <f>IF(AuditData[[#This Row],[Audit Effectiveness Score]]&lt;=6.5,"Low (5-6,5)",IF(AuditData[[#This Row],[Audit Effectiveness Score]]&lt;=8,"Medium (6,5-8)","High (8-10)"))</f>
        <v>Medium (6,5-8)</v>
      </c>
      <c r="S93" s="2" t="str">
        <f>IF(AuditData[[#This Row],[Client Satisfaction Score]]&lt;=6.5,"Low (5-6,5)",IF(AuditData[[#This Row],[Client Satisfaction Score]]&lt;=8,"Medium (6,5-8)","High (8-10)"))</f>
        <v>Low (5-6,5)</v>
      </c>
    </row>
    <row r="94" spans="1:19" x14ac:dyDescent="0.3">
      <c r="A94">
        <v>2022</v>
      </c>
      <c r="B94" t="s">
        <v>0</v>
      </c>
      <c r="C94">
        <v>4595</v>
      </c>
      <c r="D94">
        <v>481</v>
      </c>
      <c r="E94">
        <v>173</v>
      </c>
      <c r="F94">
        <v>54</v>
      </c>
      <c r="G94" t="s">
        <v>6</v>
      </c>
      <c r="H94" s="1">
        <v>454.65</v>
      </c>
      <c r="I94" t="s">
        <v>2</v>
      </c>
      <c r="J94">
        <v>48</v>
      </c>
      <c r="K94">
        <v>8.6</v>
      </c>
      <c r="L94">
        <v>6.5</v>
      </c>
      <c r="M94" s="2">
        <f>AuditData[[#This Row],[High Risk Cases]]/AuditData[[#This Row],[Total Audit Engagements]]</f>
        <v>0.10467899891186072</v>
      </c>
      <c r="N94" s="2">
        <f>AuditData[[#This Row],[Compliance Violations]]/AuditData[[#This Row],[Total Audit Engagements]]</f>
        <v>3.7649619151251361E-2</v>
      </c>
      <c r="O94" s="1">
        <f>AuditData[[#This Row],[Total Revenue Impact (mln USD)]]/AuditData[[#This Row],[Fraud Cases Detected]]</f>
        <v>8.4194444444444443</v>
      </c>
      <c r="P94" s="2">
        <f>AuditData[[#This Row],[Fraud Cases Detected]]/AuditData[[#This Row],[Total Audit Engagements]]</f>
        <v>1.17519042437432E-2</v>
      </c>
      <c r="Q94" s="2">
        <f>IF(AuditData[[#This Row],[AI Used for Auditing]]="Yes",1,0)</f>
        <v>0</v>
      </c>
      <c r="R94" s="2" t="str">
        <f>IF(AuditData[[#This Row],[Audit Effectiveness Score]]&lt;=6.5,"Low (5-6,5)",IF(AuditData[[#This Row],[Audit Effectiveness Score]]&lt;=8,"Medium (6,5-8)","High (8-10)"))</f>
        <v>High (8-10)</v>
      </c>
      <c r="S94" s="2" t="str">
        <f>IF(AuditData[[#This Row],[Client Satisfaction Score]]&lt;=6.5,"Low (5-6,5)",IF(AuditData[[#This Row],[Client Satisfaction Score]]&lt;=8,"Medium (6,5-8)","High (8-10)"))</f>
        <v>Low (5-6,5)</v>
      </c>
    </row>
    <row r="95" spans="1:19" x14ac:dyDescent="0.3">
      <c r="A95">
        <v>2021</v>
      </c>
      <c r="B95" t="s">
        <v>3</v>
      </c>
      <c r="C95">
        <v>797</v>
      </c>
      <c r="D95">
        <v>133</v>
      </c>
      <c r="E95">
        <v>46</v>
      </c>
      <c r="F95">
        <v>27</v>
      </c>
      <c r="G95" t="s">
        <v>5</v>
      </c>
      <c r="H95" s="1">
        <v>474.32</v>
      </c>
      <c r="I95" t="s">
        <v>2</v>
      </c>
      <c r="J95">
        <v>77</v>
      </c>
      <c r="K95">
        <v>6.3</v>
      </c>
      <c r="L95">
        <v>8.6</v>
      </c>
      <c r="M95" s="2">
        <f>AuditData[[#This Row],[High Risk Cases]]/AuditData[[#This Row],[Total Audit Engagements]]</f>
        <v>0.16687578419071519</v>
      </c>
      <c r="N95" s="2">
        <f>AuditData[[#This Row],[Compliance Violations]]/AuditData[[#This Row],[Total Audit Engagements]]</f>
        <v>5.7716436637390213E-2</v>
      </c>
      <c r="O95" s="1">
        <f>AuditData[[#This Row],[Total Revenue Impact (mln USD)]]/AuditData[[#This Row],[Fraud Cases Detected]]</f>
        <v>17.567407407407408</v>
      </c>
      <c r="P95" s="2">
        <f>AuditData[[#This Row],[Fraud Cases Detected]]/AuditData[[#This Row],[Total Audit Engagements]]</f>
        <v>3.3877038895859475E-2</v>
      </c>
      <c r="Q95" s="2">
        <f>IF(AuditData[[#This Row],[AI Used for Auditing]]="Yes",1,0)</f>
        <v>0</v>
      </c>
      <c r="R95" s="2" t="str">
        <f>IF(AuditData[[#This Row],[Audit Effectiveness Score]]&lt;=6.5,"Low (5-6,5)",IF(AuditData[[#This Row],[Audit Effectiveness Score]]&lt;=8,"Medium (6,5-8)","High (8-10)"))</f>
        <v>Low (5-6,5)</v>
      </c>
      <c r="S95" s="2" t="str">
        <f>IF(AuditData[[#This Row],[Client Satisfaction Score]]&lt;=6.5,"Low (5-6,5)",IF(AuditData[[#This Row],[Client Satisfaction Score]]&lt;=8,"Medium (6,5-8)","High (8-10)"))</f>
        <v>High (8-10)</v>
      </c>
    </row>
    <row r="96" spans="1:19" x14ac:dyDescent="0.3">
      <c r="A96">
        <v>2023</v>
      </c>
      <c r="B96" t="s">
        <v>8</v>
      </c>
      <c r="C96">
        <v>4895</v>
      </c>
      <c r="D96">
        <v>123</v>
      </c>
      <c r="E96">
        <v>132</v>
      </c>
      <c r="F96">
        <v>10</v>
      </c>
      <c r="G96" t="s">
        <v>7</v>
      </c>
      <c r="H96" s="1">
        <v>389.31</v>
      </c>
      <c r="I96" t="s">
        <v>2</v>
      </c>
      <c r="J96">
        <v>48</v>
      </c>
      <c r="K96">
        <v>9.3000000000000007</v>
      </c>
      <c r="L96">
        <v>8.4</v>
      </c>
      <c r="M96" s="2">
        <f>AuditData[[#This Row],[High Risk Cases]]/AuditData[[#This Row],[Total Audit Engagements]]</f>
        <v>2.5127681307456587E-2</v>
      </c>
      <c r="N96" s="2">
        <f>AuditData[[#This Row],[Compliance Violations]]/AuditData[[#This Row],[Total Audit Engagements]]</f>
        <v>2.6966292134831461E-2</v>
      </c>
      <c r="O96" s="1">
        <f>AuditData[[#This Row],[Total Revenue Impact (mln USD)]]/AuditData[[#This Row],[Fraud Cases Detected]]</f>
        <v>38.930999999999997</v>
      </c>
      <c r="P96" s="2">
        <f>AuditData[[#This Row],[Fraud Cases Detected]]/AuditData[[#This Row],[Total Audit Engagements]]</f>
        <v>2.0429009193054137E-3</v>
      </c>
      <c r="Q96" s="2">
        <f>IF(AuditData[[#This Row],[AI Used for Auditing]]="Yes",1,0)</f>
        <v>0</v>
      </c>
      <c r="R96" s="2" t="str">
        <f>IF(AuditData[[#This Row],[Audit Effectiveness Score]]&lt;=6.5,"Low (5-6,5)",IF(AuditData[[#This Row],[Audit Effectiveness Score]]&lt;=8,"Medium (6,5-8)","High (8-10)"))</f>
        <v>High (8-10)</v>
      </c>
      <c r="S96" s="2" t="str">
        <f>IF(AuditData[[#This Row],[Client Satisfaction Score]]&lt;=6.5,"Low (5-6,5)",IF(AuditData[[#This Row],[Client Satisfaction Score]]&lt;=8,"Medium (6,5-8)","High (8-10)"))</f>
        <v>High (8-10)</v>
      </c>
    </row>
    <row r="97" spans="1:19" x14ac:dyDescent="0.3">
      <c r="A97">
        <v>2022</v>
      </c>
      <c r="B97" t="s">
        <v>9</v>
      </c>
      <c r="C97">
        <v>4179</v>
      </c>
      <c r="D97">
        <v>77</v>
      </c>
      <c r="E97">
        <v>58</v>
      </c>
      <c r="F97">
        <v>69</v>
      </c>
      <c r="G97" t="s">
        <v>1</v>
      </c>
      <c r="H97" s="1">
        <v>89.79</v>
      </c>
      <c r="I97" t="s">
        <v>4</v>
      </c>
      <c r="J97">
        <v>74</v>
      </c>
      <c r="K97">
        <v>7.6</v>
      </c>
      <c r="L97">
        <v>5.6</v>
      </c>
      <c r="M97" s="2">
        <f>AuditData[[#This Row],[High Risk Cases]]/AuditData[[#This Row],[Total Audit Engagements]]</f>
        <v>1.8425460636515914E-2</v>
      </c>
      <c r="N97" s="2">
        <f>AuditData[[#This Row],[Compliance Violations]]/AuditData[[#This Row],[Total Audit Engagements]]</f>
        <v>1.3878918401531467E-2</v>
      </c>
      <c r="O97" s="1">
        <f>AuditData[[#This Row],[Total Revenue Impact (mln USD)]]/AuditData[[#This Row],[Fraud Cases Detected]]</f>
        <v>1.3013043478260871</v>
      </c>
      <c r="P97" s="2">
        <f>AuditData[[#This Row],[Fraud Cases Detected]]/AuditData[[#This Row],[Total Audit Engagements]]</f>
        <v>1.6511127063890883E-2</v>
      </c>
      <c r="Q97" s="2">
        <f>IF(AuditData[[#This Row],[AI Used for Auditing]]="Yes",1,0)</f>
        <v>1</v>
      </c>
      <c r="R97" s="2" t="str">
        <f>IF(AuditData[[#This Row],[Audit Effectiveness Score]]&lt;=6.5,"Low (5-6,5)",IF(AuditData[[#This Row],[Audit Effectiveness Score]]&lt;=8,"Medium (6,5-8)","High (8-10)"))</f>
        <v>Medium (6,5-8)</v>
      </c>
      <c r="S97" s="2" t="str">
        <f>IF(AuditData[[#This Row],[Client Satisfaction Score]]&lt;=6.5,"Low (5-6,5)",IF(AuditData[[#This Row],[Client Satisfaction Score]]&lt;=8,"Medium (6,5-8)","High (8-10)"))</f>
        <v>Low (5-6,5)</v>
      </c>
    </row>
    <row r="98" spans="1:19" x14ac:dyDescent="0.3">
      <c r="A98">
        <v>2020</v>
      </c>
      <c r="B98" t="s">
        <v>8</v>
      </c>
      <c r="C98">
        <v>2119</v>
      </c>
      <c r="D98">
        <v>112</v>
      </c>
      <c r="E98">
        <v>153</v>
      </c>
      <c r="F98">
        <v>59</v>
      </c>
      <c r="G98" t="s">
        <v>7</v>
      </c>
      <c r="H98" s="1">
        <v>182.06</v>
      </c>
      <c r="I98" t="s">
        <v>2</v>
      </c>
      <c r="J98">
        <v>42</v>
      </c>
      <c r="K98">
        <v>8.4</v>
      </c>
      <c r="L98">
        <v>9.3000000000000007</v>
      </c>
      <c r="M98" s="2">
        <f>AuditData[[#This Row],[High Risk Cases]]/AuditData[[#This Row],[Total Audit Engagements]]</f>
        <v>5.2855120339782916E-2</v>
      </c>
      <c r="N98" s="2">
        <f>AuditData[[#This Row],[Compliance Violations]]/AuditData[[#This Row],[Total Audit Engagements]]</f>
        <v>7.2203869749882021E-2</v>
      </c>
      <c r="O98" s="1">
        <f>AuditData[[#This Row],[Total Revenue Impact (mln USD)]]/AuditData[[#This Row],[Fraud Cases Detected]]</f>
        <v>3.0857627118644069</v>
      </c>
      <c r="P98" s="2">
        <f>AuditData[[#This Row],[Fraud Cases Detected]]/AuditData[[#This Row],[Total Audit Engagements]]</f>
        <v>2.7843322321849929E-2</v>
      </c>
      <c r="Q98" s="2">
        <f>IF(AuditData[[#This Row],[AI Used for Auditing]]="Yes",1,0)</f>
        <v>0</v>
      </c>
      <c r="R98" s="2" t="str">
        <f>IF(AuditData[[#This Row],[Audit Effectiveness Score]]&lt;=6.5,"Low (5-6,5)",IF(AuditData[[#This Row],[Audit Effectiveness Score]]&lt;=8,"Medium (6,5-8)","High (8-10)"))</f>
        <v>High (8-10)</v>
      </c>
      <c r="S98" s="2" t="str">
        <f>IF(AuditData[[#This Row],[Client Satisfaction Score]]&lt;=6.5,"Low (5-6,5)",IF(AuditData[[#This Row],[Client Satisfaction Score]]&lt;=8,"Medium (6,5-8)","High (8-10)"))</f>
        <v>High (8-10)</v>
      </c>
    </row>
    <row r="99" spans="1:19" x14ac:dyDescent="0.3">
      <c r="A99">
        <v>2021</v>
      </c>
      <c r="B99" t="s">
        <v>3</v>
      </c>
      <c r="C99">
        <v>3810</v>
      </c>
      <c r="D99">
        <v>463</v>
      </c>
      <c r="E99">
        <v>35</v>
      </c>
      <c r="F99">
        <v>96</v>
      </c>
      <c r="G99" t="s">
        <v>1</v>
      </c>
      <c r="H99" s="1">
        <v>349.04</v>
      </c>
      <c r="I99" t="s">
        <v>2</v>
      </c>
      <c r="J99">
        <v>55</v>
      </c>
      <c r="K99">
        <v>6.4</v>
      </c>
      <c r="L99">
        <v>6.5</v>
      </c>
      <c r="M99" s="2">
        <f>AuditData[[#This Row],[High Risk Cases]]/AuditData[[#This Row],[Total Audit Engagements]]</f>
        <v>0.12152230971128609</v>
      </c>
      <c r="N99" s="2">
        <f>AuditData[[#This Row],[Compliance Violations]]/AuditData[[#This Row],[Total Audit Engagements]]</f>
        <v>9.1863517060367453E-3</v>
      </c>
      <c r="O99" s="1">
        <f>AuditData[[#This Row],[Total Revenue Impact (mln USD)]]/AuditData[[#This Row],[Fraud Cases Detected]]</f>
        <v>3.6358333333333337</v>
      </c>
      <c r="P99" s="2">
        <f>AuditData[[#This Row],[Fraud Cases Detected]]/AuditData[[#This Row],[Total Audit Engagements]]</f>
        <v>2.5196850393700787E-2</v>
      </c>
      <c r="Q99" s="2">
        <f>IF(AuditData[[#This Row],[AI Used for Auditing]]="Yes",1,0)</f>
        <v>0</v>
      </c>
      <c r="R99" s="2" t="str">
        <f>IF(AuditData[[#This Row],[Audit Effectiveness Score]]&lt;=6.5,"Low (5-6,5)",IF(AuditData[[#This Row],[Audit Effectiveness Score]]&lt;=8,"Medium (6,5-8)","High (8-10)"))</f>
        <v>Low (5-6,5)</v>
      </c>
      <c r="S99" s="2" t="str">
        <f>IF(AuditData[[#This Row],[Client Satisfaction Score]]&lt;=6.5,"Low (5-6,5)",IF(AuditData[[#This Row],[Client Satisfaction Score]]&lt;=8,"Medium (6,5-8)","High (8-10)"))</f>
        <v>Low (5-6,5)</v>
      </c>
    </row>
    <row r="100" spans="1:19" x14ac:dyDescent="0.3">
      <c r="A100">
        <v>2025</v>
      </c>
      <c r="B100" t="s">
        <v>3</v>
      </c>
      <c r="C100">
        <v>1896</v>
      </c>
      <c r="D100">
        <v>110</v>
      </c>
      <c r="E100">
        <v>151</v>
      </c>
      <c r="F100">
        <v>14</v>
      </c>
      <c r="G100" t="s">
        <v>5</v>
      </c>
      <c r="H100" s="1">
        <v>456.08</v>
      </c>
      <c r="I100" t="s">
        <v>2</v>
      </c>
      <c r="J100">
        <v>74</v>
      </c>
      <c r="K100">
        <v>8.6999999999999993</v>
      </c>
      <c r="L100">
        <v>7.1</v>
      </c>
      <c r="M100" s="2">
        <f>AuditData[[#This Row],[High Risk Cases]]/AuditData[[#This Row],[Total Audit Engagements]]</f>
        <v>5.8016877637130801E-2</v>
      </c>
      <c r="N100" s="2">
        <f>AuditData[[#This Row],[Compliance Violations]]/AuditData[[#This Row],[Total Audit Engagements]]</f>
        <v>7.9641350210970463E-2</v>
      </c>
      <c r="O100" s="1">
        <f>AuditData[[#This Row],[Total Revenue Impact (mln USD)]]/AuditData[[#This Row],[Fraud Cases Detected]]</f>
        <v>32.577142857142853</v>
      </c>
      <c r="P100" s="2">
        <f>AuditData[[#This Row],[Fraud Cases Detected]]/AuditData[[#This Row],[Total Audit Engagements]]</f>
        <v>7.3839662447257384E-3</v>
      </c>
      <c r="Q100" s="2">
        <f>IF(AuditData[[#This Row],[AI Used for Auditing]]="Yes",1,0)</f>
        <v>0</v>
      </c>
      <c r="R100" s="2" t="str">
        <f>IF(AuditData[[#This Row],[Audit Effectiveness Score]]&lt;=6.5,"Low (5-6,5)",IF(AuditData[[#This Row],[Audit Effectiveness Score]]&lt;=8,"Medium (6,5-8)","High (8-10)"))</f>
        <v>High (8-10)</v>
      </c>
      <c r="S100" s="2" t="str">
        <f>IF(AuditData[[#This Row],[Client Satisfaction Score]]&lt;=6.5,"Low (5-6,5)",IF(AuditData[[#This Row],[Client Satisfaction Score]]&lt;=8,"Medium (6,5-8)","High (8-10)"))</f>
        <v>Medium (6,5-8)</v>
      </c>
    </row>
    <row r="101" spans="1:19" x14ac:dyDescent="0.3">
      <c r="A101">
        <v>2021</v>
      </c>
      <c r="B101" t="s">
        <v>0</v>
      </c>
      <c r="C101">
        <v>4473</v>
      </c>
      <c r="D101">
        <v>195</v>
      </c>
      <c r="E101">
        <v>199</v>
      </c>
      <c r="F101">
        <v>58</v>
      </c>
      <c r="G101" t="s">
        <v>5</v>
      </c>
      <c r="H101" s="1">
        <v>235.12</v>
      </c>
      <c r="I101" t="s">
        <v>4</v>
      </c>
      <c r="J101">
        <v>54</v>
      </c>
      <c r="K101">
        <v>6.4</v>
      </c>
      <c r="L101">
        <v>7.4</v>
      </c>
      <c r="M101" s="2">
        <f>AuditData[[#This Row],[High Risk Cases]]/AuditData[[#This Row],[Total Audit Engagements]]</f>
        <v>4.3594902749832326E-2</v>
      </c>
      <c r="N101" s="2">
        <f>AuditData[[#This Row],[Compliance Violations]]/AuditData[[#This Row],[Total Audit Engagements]]</f>
        <v>4.4489157165213504E-2</v>
      </c>
      <c r="O101" s="1">
        <f>AuditData[[#This Row],[Total Revenue Impact (mln USD)]]/AuditData[[#This Row],[Fraud Cases Detected]]</f>
        <v>4.0537931034482764</v>
      </c>
      <c r="P101" s="2">
        <f>AuditData[[#This Row],[Fraud Cases Detected]]/AuditData[[#This Row],[Total Audit Engagements]]</f>
        <v>1.2966689023027051E-2</v>
      </c>
      <c r="Q101" s="2">
        <f>IF(AuditData[[#This Row],[AI Used for Auditing]]="Yes",1,0)</f>
        <v>1</v>
      </c>
      <c r="R101" s="2" t="str">
        <f>IF(AuditData[[#This Row],[Audit Effectiveness Score]]&lt;=6.5,"Low (5-6,5)",IF(AuditData[[#This Row],[Audit Effectiveness Score]]&lt;=8,"Medium (6,5-8)","High (8-10)"))</f>
        <v>Low (5-6,5)</v>
      </c>
      <c r="S101" s="2" t="str">
        <f>IF(AuditData[[#This Row],[Client Satisfaction Score]]&lt;=6.5,"Low (5-6,5)",IF(AuditData[[#This Row],[Client Satisfaction Score]]&lt;=8,"Medium (6,5-8)","High (8-10)"))</f>
        <v>Medium (6,5-8)</v>
      </c>
    </row>
  </sheetData>
  <conditionalFormatting sqref="H2:H10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{634B8ACA-ACB8-4E31-904C-996E8D1B13A3}</x14:id>
        </ext>
      </extLst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{9D0C9520-E527-400A-B2A9-A179ADD88432}</x14:id>
        </ext>
      </extLst>
    </cfRule>
  </conditionalFormatting>
  <conditionalFormatting sqref="K2:K101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4B8ACA-ACB8-4E31-904C-996E8D1B13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D0C9520-E527-400A-B2A9-A179ADD884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H2:H101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DA6DC-789E-4DF2-9BF1-ED63E1173B76}">
  <dimension ref="A1:I6"/>
  <sheetViews>
    <sheetView workbookViewId="0">
      <selection activeCell="H1" sqref="H1"/>
    </sheetView>
  </sheetViews>
  <sheetFormatPr defaultRowHeight="14.4" x14ac:dyDescent="0.3"/>
  <cols>
    <col min="1" max="1" width="13.5546875" bestFit="1" customWidth="1"/>
    <col min="2" max="2" width="16.5546875" bestFit="1" customWidth="1"/>
    <col min="3" max="3" width="13.21875" bestFit="1" customWidth="1"/>
    <col min="4" max="4" width="13.88671875" bestFit="1" customWidth="1"/>
    <col min="5" max="5" width="10.21875" bestFit="1" customWidth="1"/>
    <col min="6" max="6" width="19" bestFit="1" customWidth="1"/>
    <col min="7" max="7" width="15.33203125" bestFit="1" customWidth="1"/>
    <col min="8" max="8" width="14.33203125" bestFit="1" customWidth="1"/>
    <col min="9" max="10" width="14.5546875" bestFit="1" customWidth="1"/>
  </cols>
  <sheetData>
    <row r="1" spans="1:9" x14ac:dyDescent="0.3">
      <c r="A1" s="3" t="s">
        <v>11</v>
      </c>
      <c r="B1" t="s">
        <v>30</v>
      </c>
      <c r="C1" t="s">
        <v>31</v>
      </c>
      <c r="D1" t="s">
        <v>36</v>
      </c>
      <c r="E1" t="s">
        <v>32</v>
      </c>
      <c r="F1" t="s">
        <v>33</v>
      </c>
      <c r="G1" t="s">
        <v>34</v>
      </c>
      <c r="H1" t="s">
        <v>35</v>
      </c>
      <c r="I1" t="s">
        <v>37</v>
      </c>
    </row>
    <row r="2" spans="1:9" x14ac:dyDescent="0.3">
      <c r="A2" s="4" t="s">
        <v>3</v>
      </c>
      <c r="B2" s="6">
        <v>71631</v>
      </c>
      <c r="C2" s="6">
        <v>8485</v>
      </c>
      <c r="D2" s="6">
        <v>3127</v>
      </c>
      <c r="E2" s="6">
        <v>1481</v>
      </c>
      <c r="F2" s="1">
        <v>8547.44</v>
      </c>
      <c r="G2" s="7">
        <v>7.52</v>
      </c>
      <c r="H2" s="7">
        <v>7.623333333333334</v>
      </c>
      <c r="I2" s="7">
        <v>0.3</v>
      </c>
    </row>
    <row r="3" spans="1:9" x14ac:dyDescent="0.3">
      <c r="A3" s="4" t="s">
        <v>8</v>
      </c>
      <c r="B3" s="6">
        <v>59730</v>
      </c>
      <c r="C3" s="6">
        <v>6403</v>
      </c>
      <c r="D3" s="6">
        <v>2724</v>
      </c>
      <c r="E3" s="6">
        <v>1031</v>
      </c>
      <c r="F3" s="1">
        <v>6862.86</v>
      </c>
      <c r="G3" s="7">
        <v>7.4565217391304346</v>
      </c>
      <c r="H3" s="7">
        <v>7.3913043478260878</v>
      </c>
      <c r="I3" s="7">
        <v>0.43478260869565216</v>
      </c>
    </row>
    <row r="4" spans="1:9" x14ac:dyDescent="0.3">
      <c r="A4" s="4" t="s">
        <v>9</v>
      </c>
      <c r="B4" s="6">
        <v>67155</v>
      </c>
      <c r="C4" s="6">
        <v>6869</v>
      </c>
      <c r="D4" s="6">
        <v>2070</v>
      </c>
      <c r="E4" s="6">
        <v>1319</v>
      </c>
      <c r="F4" s="1">
        <v>5735.1100000000006</v>
      </c>
      <c r="G4" s="7">
        <v>7.5954545454545448</v>
      </c>
      <c r="H4" s="7">
        <v>7.0363636363636353</v>
      </c>
      <c r="I4" s="7">
        <v>0.5</v>
      </c>
    </row>
    <row r="5" spans="1:9" x14ac:dyDescent="0.3">
      <c r="A5" s="4" t="s">
        <v>0</v>
      </c>
      <c r="B5" s="6">
        <v>79936</v>
      </c>
      <c r="C5" s="6">
        <v>6016</v>
      </c>
      <c r="D5" s="6">
        <v>2627</v>
      </c>
      <c r="E5" s="6">
        <v>1439</v>
      </c>
      <c r="F5" s="1">
        <v>6108.49</v>
      </c>
      <c r="G5" s="7">
        <v>7.3920000000000003</v>
      </c>
      <c r="H5" s="7">
        <v>7.2160000000000002</v>
      </c>
      <c r="I5" s="7">
        <v>0.6</v>
      </c>
    </row>
    <row r="6" spans="1:9" x14ac:dyDescent="0.3">
      <c r="A6" s="4" t="s">
        <v>29</v>
      </c>
      <c r="B6" s="6">
        <v>278452</v>
      </c>
      <c r="C6" s="6">
        <v>27773</v>
      </c>
      <c r="D6" s="6">
        <v>10548</v>
      </c>
      <c r="E6" s="6">
        <v>5270</v>
      </c>
      <c r="F6" s="1">
        <v>27253.9</v>
      </c>
      <c r="G6" s="7">
        <v>7.4899999999999984</v>
      </c>
      <c r="H6" s="7">
        <v>7.3390000000000031</v>
      </c>
      <c r="I6" s="7">
        <v>0.45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58E9B-C87F-4247-9934-1EDF6A9DAE0D}">
  <dimension ref="A1:I8"/>
  <sheetViews>
    <sheetView zoomScaleNormal="100" workbookViewId="0">
      <selection activeCell="F6" sqref="F6"/>
    </sheetView>
  </sheetViews>
  <sheetFormatPr defaultRowHeight="14.4" x14ac:dyDescent="0.3"/>
  <cols>
    <col min="1" max="2" width="16.5546875" bestFit="1" customWidth="1"/>
    <col min="3" max="3" width="13.21875" bestFit="1" customWidth="1"/>
    <col min="4" max="4" width="13.88671875" bestFit="1" customWidth="1"/>
    <col min="5" max="5" width="10.21875" bestFit="1" customWidth="1"/>
    <col min="6" max="6" width="19" bestFit="1" customWidth="1"/>
    <col min="7" max="7" width="15.5546875" customWidth="1"/>
    <col min="8" max="8" width="14.77734375" customWidth="1"/>
    <col min="9" max="9" width="13.77734375" bestFit="1" customWidth="1"/>
  </cols>
  <sheetData>
    <row r="1" spans="1:9" x14ac:dyDescent="0.3">
      <c r="A1" s="3" t="s">
        <v>10</v>
      </c>
      <c r="B1" t="s">
        <v>30</v>
      </c>
      <c r="C1" t="s">
        <v>31</v>
      </c>
      <c r="D1" t="s">
        <v>36</v>
      </c>
      <c r="E1" t="s">
        <v>32</v>
      </c>
      <c r="F1" t="s">
        <v>33</v>
      </c>
      <c r="G1" t="s">
        <v>34</v>
      </c>
      <c r="H1" t="s">
        <v>35</v>
      </c>
      <c r="I1" t="s">
        <v>37</v>
      </c>
    </row>
    <row r="2" spans="1:9" x14ac:dyDescent="0.3">
      <c r="A2" s="4">
        <v>2020</v>
      </c>
      <c r="B2" s="6">
        <v>55139</v>
      </c>
      <c r="C2" s="6">
        <v>6063</v>
      </c>
      <c r="D2" s="8">
        <v>2441</v>
      </c>
      <c r="E2" s="6">
        <v>1042</v>
      </c>
      <c r="F2" s="1">
        <v>4509.5900000000011</v>
      </c>
      <c r="G2" s="7">
        <v>7.5857142857142863</v>
      </c>
      <c r="H2" s="7">
        <v>7.6476190476190489</v>
      </c>
      <c r="I2" s="7">
        <v>0.33333333333333331</v>
      </c>
    </row>
    <row r="3" spans="1:9" x14ac:dyDescent="0.3">
      <c r="A3" s="4">
        <v>2021</v>
      </c>
      <c r="B3" s="6">
        <v>51888</v>
      </c>
      <c r="C3" s="6">
        <v>4684</v>
      </c>
      <c r="D3" s="8">
        <v>1562</v>
      </c>
      <c r="E3" s="6">
        <v>963</v>
      </c>
      <c r="F3" s="1">
        <v>6094.5499999999993</v>
      </c>
      <c r="G3" s="7">
        <v>6.9210526315789478</v>
      </c>
      <c r="H3" s="7">
        <v>7.2684210526315782</v>
      </c>
      <c r="I3" s="7">
        <v>0.47368421052631576</v>
      </c>
    </row>
    <row r="4" spans="1:9" x14ac:dyDescent="0.3">
      <c r="A4" s="4">
        <v>2022</v>
      </c>
      <c r="B4" s="6">
        <v>43667</v>
      </c>
      <c r="C4" s="6">
        <v>4195</v>
      </c>
      <c r="D4" s="8">
        <v>1556</v>
      </c>
      <c r="E4" s="6">
        <v>667</v>
      </c>
      <c r="F4" s="1">
        <v>3325.6400000000003</v>
      </c>
      <c r="G4" s="7">
        <v>7.5333333333333314</v>
      </c>
      <c r="H4" s="7">
        <v>6.7666666666666666</v>
      </c>
      <c r="I4" s="7">
        <v>0.46666666666666667</v>
      </c>
    </row>
    <row r="5" spans="1:9" x14ac:dyDescent="0.3">
      <c r="A5" s="4">
        <v>2023</v>
      </c>
      <c r="B5" s="6">
        <v>35752</v>
      </c>
      <c r="C5" s="6">
        <v>3006</v>
      </c>
      <c r="D5" s="8">
        <v>1454</v>
      </c>
      <c r="E5" s="6">
        <v>727</v>
      </c>
      <c r="F5" s="1">
        <v>3325.9799999999996</v>
      </c>
      <c r="G5" s="7">
        <v>7.6769230769230763</v>
      </c>
      <c r="H5" s="7">
        <v>7.4230769230769216</v>
      </c>
      <c r="I5" s="7">
        <v>0.46153846153846156</v>
      </c>
    </row>
    <row r="6" spans="1:9" x14ac:dyDescent="0.3">
      <c r="A6" s="4">
        <v>2024</v>
      </c>
      <c r="B6" s="6">
        <v>43753</v>
      </c>
      <c r="C6" s="6">
        <v>5513</v>
      </c>
      <c r="D6" s="8">
        <v>1529</v>
      </c>
      <c r="E6" s="6">
        <v>938</v>
      </c>
      <c r="F6" s="1">
        <v>4629.880000000001</v>
      </c>
      <c r="G6" s="7">
        <v>7.7125000000000004</v>
      </c>
      <c r="H6" s="7">
        <v>7.3875000000000011</v>
      </c>
      <c r="I6" s="7">
        <v>0.375</v>
      </c>
    </row>
    <row r="7" spans="1:9" x14ac:dyDescent="0.3">
      <c r="A7" s="4">
        <v>2025</v>
      </c>
      <c r="B7" s="6">
        <v>48253</v>
      </c>
      <c r="C7" s="6">
        <v>4312</v>
      </c>
      <c r="D7" s="8">
        <v>2006</v>
      </c>
      <c r="E7" s="6">
        <v>933</v>
      </c>
      <c r="F7" s="1">
        <v>5368.2599999999993</v>
      </c>
      <c r="G7" s="7">
        <v>7.6249999999999991</v>
      </c>
      <c r="H7" s="7">
        <v>7.4375</v>
      </c>
      <c r="I7" s="7">
        <v>0.625</v>
      </c>
    </row>
    <row r="8" spans="1:9" x14ac:dyDescent="0.3">
      <c r="A8" s="4" t="s">
        <v>29</v>
      </c>
      <c r="B8" s="6">
        <v>278452</v>
      </c>
      <c r="C8" s="6">
        <v>27773</v>
      </c>
      <c r="D8" s="8">
        <v>10548</v>
      </c>
      <c r="E8" s="6">
        <v>5270</v>
      </c>
      <c r="F8" s="1">
        <v>27253.899999999994</v>
      </c>
      <c r="G8" s="7">
        <v>7.49</v>
      </c>
      <c r="H8" s="7">
        <v>7.3390000000000013</v>
      </c>
      <c r="I8" s="7">
        <v>0.45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152EE-2509-46AA-975D-64EA062A1246}">
  <dimension ref="A1:J6"/>
  <sheetViews>
    <sheetView workbookViewId="0">
      <selection activeCell="I5" sqref="I5"/>
    </sheetView>
  </sheetViews>
  <sheetFormatPr defaultRowHeight="14.4" x14ac:dyDescent="0.3"/>
  <cols>
    <col min="1" max="2" width="16.5546875" bestFit="1" customWidth="1"/>
    <col min="3" max="3" width="13.21875" bestFit="1" customWidth="1"/>
    <col min="4" max="4" width="13.88671875" bestFit="1" customWidth="1"/>
    <col min="5" max="5" width="10.21875" bestFit="1" customWidth="1"/>
    <col min="6" max="6" width="19" bestFit="1" customWidth="1"/>
    <col min="7" max="7" width="15.33203125" bestFit="1" customWidth="1"/>
    <col min="8" max="8" width="14.33203125" bestFit="1" customWidth="1"/>
    <col min="9" max="9" width="13.77734375" bestFit="1" customWidth="1"/>
    <col min="10" max="10" width="13.6640625" bestFit="1" customWidth="1"/>
  </cols>
  <sheetData>
    <row r="1" spans="1:10" x14ac:dyDescent="0.3">
      <c r="A1" s="3" t="s">
        <v>16</v>
      </c>
      <c r="B1" t="s">
        <v>30</v>
      </c>
      <c r="C1" t="s">
        <v>31</v>
      </c>
      <c r="D1" t="s">
        <v>36</v>
      </c>
      <c r="E1" t="s">
        <v>32</v>
      </c>
      <c r="F1" t="s">
        <v>33</v>
      </c>
      <c r="G1" t="s">
        <v>34</v>
      </c>
      <c r="H1" t="s">
        <v>35</v>
      </c>
      <c r="I1" t="s">
        <v>37</v>
      </c>
      <c r="J1" t="s">
        <v>38</v>
      </c>
    </row>
    <row r="2" spans="1:10" x14ac:dyDescent="0.3">
      <c r="A2" s="4" t="s">
        <v>5</v>
      </c>
      <c r="B2" s="6">
        <v>60681</v>
      </c>
      <c r="C2" s="6">
        <v>6085</v>
      </c>
      <c r="D2" s="6">
        <v>1669</v>
      </c>
      <c r="E2" s="6">
        <v>1101</v>
      </c>
      <c r="F2" s="1">
        <v>5940.1999999999989</v>
      </c>
      <c r="G2" s="7">
        <v>7.6400000000000006</v>
      </c>
      <c r="H2" s="7">
        <v>7.0650000000000004</v>
      </c>
      <c r="I2" s="7">
        <v>0.65</v>
      </c>
      <c r="J2" s="5">
        <v>2.2471469934702261E-2</v>
      </c>
    </row>
    <row r="3" spans="1:10" x14ac:dyDescent="0.3">
      <c r="A3" s="4" t="s">
        <v>1</v>
      </c>
      <c r="B3" s="6">
        <v>68004</v>
      </c>
      <c r="C3" s="6">
        <v>7395</v>
      </c>
      <c r="D3" s="6">
        <v>2665</v>
      </c>
      <c r="E3" s="6">
        <v>1410</v>
      </c>
      <c r="F3" s="1">
        <v>5475.5899999999983</v>
      </c>
      <c r="G3" s="7">
        <v>7.424999999999998</v>
      </c>
      <c r="H3" s="7">
        <v>7.6333333333333329</v>
      </c>
      <c r="I3" s="7">
        <v>0.375</v>
      </c>
      <c r="J3" s="5">
        <v>2.4762684056506598E-2</v>
      </c>
    </row>
    <row r="4" spans="1:10" x14ac:dyDescent="0.3">
      <c r="A4" s="4" t="s">
        <v>6</v>
      </c>
      <c r="B4" s="6">
        <v>69698</v>
      </c>
      <c r="C4" s="6">
        <v>7000</v>
      </c>
      <c r="D4" s="6">
        <v>3226</v>
      </c>
      <c r="E4" s="6">
        <v>1365</v>
      </c>
      <c r="F4" s="1">
        <v>8696.2999999999993</v>
      </c>
      <c r="G4" s="7">
        <v>7.5962962962962957</v>
      </c>
      <c r="H4" s="7">
        <v>7.4481481481481486</v>
      </c>
      <c r="I4" s="7">
        <v>0.40740740740740738</v>
      </c>
      <c r="J4" s="5">
        <v>2.1869619800221611E-2</v>
      </c>
    </row>
    <row r="5" spans="1:10" x14ac:dyDescent="0.3">
      <c r="A5" s="4" t="s">
        <v>7</v>
      </c>
      <c r="B5" s="6">
        <v>80069</v>
      </c>
      <c r="C5" s="6">
        <v>7293</v>
      </c>
      <c r="D5" s="6">
        <v>2988</v>
      </c>
      <c r="E5" s="6">
        <v>1394</v>
      </c>
      <c r="F5" s="1">
        <v>7141.8100000000013</v>
      </c>
      <c r="G5" s="7">
        <v>7.3413793103448279</v>
      </c>
      <c r="H5" s="7">
        <v>7.1827586206896568</v>
      </c>
      <c r="I5" s="7">
        <v>0.41379310344827586</v>
      </c>
      <c r="J5" s="5">
        <v>2.1443089948059636E-2</v>
      </c>
    </row>
    <row r="6" spans="1:10" x14ac:dyDescent="0.3">
      <c r="A6" s="4" t="s">
        <v>29</v>
      </c>
      <c r="B6" s="6">
        <v>278452</v>
      </c>
      <c r="C6" s="6">
        <v>27773</v>
      </c>
      <c r="D6" s="6">
        <v>10548</v>
      </c>
      <c r="E6" s="6">
        <v>5270</v>
      </c>
      <c r="F6" s="1">
        <v>27253.899999999991</v>
      </c>
      <c r="G6" s="7">
        <v>7.4899999999999967</v>
      </c>
      <c r="H6" s="7">
        <v>7.3389999999999995</v>
      </c>
      <c r="I6" s="7">
        <v>0.45</v>
      </c>
      <c r="J6" s="5">
        <v>2.2560631591499156E-2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7002B-964F-4E8F-A3D6-458CC4F464ED}">
  <dimension ref="A1:F4"/>
  <sheetViews>
    <sheetView workbookViewId="0">
      <selection activeCell="F4" sqref="F4"/>
    </sheetView>
  </sheetViews>
  <sheetFormatPr defaultRowHeight="14.4" x14ac:dyDescent="0.3"/>
  <cols>
    <col min="1" max="1" width="19.44140625" bestFit="1" customWidth="1"/>
    <col min="2" max="2" width="15.33203125" bestFit="1" customWidth="1"/>
    <col min="3" max="3" width="14.33203125" bestFit="1" customWidth="1"/>
    <col min="4" max="4" width="13.6640625" bestFit="1" customWidth="1"/>
    <col min="5" max="5" width="12.21875" bestFit="1" customWidth="1"/>
    <col min="6" max="6" width="19.33203125" customWidth="1"/>
  </cols>
  <sheetData>
    <row r="1" spans="1:6" x14ac:dyDescent="0.3">
      <c r="A1" s="3" t="s">
        <v>17</v>
      </c>
      <c r="B1" t="s">
        <v>34</v>
      </c>
      <c r="C1" t="s">
        <v>35</v>
      </c>
      <c r="D1" t="s">
        <v>38</v>
      </c>
      <c r="E1" t="s">
        <v>39</v>
      </c>
      <c r="F1" t="s">
        <v>33</v>
      </c>
    </row>
    <row r="2" spans="1:6" x14ac:dyDescent="0.3">
      <c r="A2" s="4" t="s">
        <v>2</v>
      </c>
      <c r="B2" s="7">
        <v>7.4036363636363633</v>
      </c>
      <c r="C2" s="7">
        <v>7.3163636363636382</v>
      </c>
      <c r="D2" s="7">
        <v>2.3048409660521043E-2</v>
      </c>
      <c r="E2" s="7">
        <v>61.036363636363639</v>
      </c>
      <c r="F2" s="1">
        <v>16114.130000000003</v>
      </c>
    </row>
    <row r="3" spans="1:6" x14ac:dyDescent="0.3">
      <c r="A3" s="4" t="s">
        <v>4</v>
      </c>
      <c r="B3" s="7">
        <v>7.5955555555555572</v>
      </c>
      <c r="C3" s="7">
        <v>7.3666666666666645</v>
      </c>
      <c r="D3" s="7">
        <v>2.196445839602798E-2</v>
      </c>
      <c r="E3" s="7">
        <v>59.288888888888891</v>
      </c>
      <c r="F3" s="1">
        <v>11139.77</v>
      </c>
    </row>
    <row r="4" spans="1:6" x14ac:dyDescent="0.3">
      <c r="A4" s="4" t="s">
        <v>29</v>
      </c>
      <c r="B4" s="7">
        <v>7.4899999999999984</v>
      </c>
      <c r="C4" s="7">
        <v>7.3390000000000013</v>
      </c>
      <c r="D4" s="7">
        <v>2.2560631591499167E-2</v>
      </c>
      <c r="E4" s="7">
        <v>60.25</v>
      </c>
      <c r="F4" s="1">
        <v>27253.9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9A7E44-23EF-479B-B0DB-F152D7F9FF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Date</vt:lpstr>
      <vt:lpstr>Summary by Firm</vt:lpstr>
      <vt:lpstr>Summary by Year</vt:lpstr>
      <vt:lpstr>Summary by Industry</vt:lpstr>
      <vt:lpstr>Summary AI 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</dc:creator>
  <cp:lastModifiedBy>Asia Aleksiejuk</cp:lastModifiedBy>
  <dcterms:created xsi:type="dcterms:W3CDTF">2026-04-05T08:01:00Z</dcterms:created>
  <dcterms:modified xsi:type="dcterms:W3CDTF">2026-04-27T14:53:58Z</dcterms:modified>
</cp:coreProperties>
</file>